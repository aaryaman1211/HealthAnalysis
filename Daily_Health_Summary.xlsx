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/>
  <mc:AlternateContent xmlns:mc="http://schemas.openxmlformats.org/markup-compatibility/2006">
    <mc:Choice Requires="x15">
      <x15ac:absPath xmlns:x15ac="http://schemas.microsoft.com/office/spreadsheetml/2010/11/ac" url="/Users/aaryamanparulekar/Documents/HealthData/"/>
    </mc:Choice>
  </mc:AlternateContent>
  <xr:revisionPtr revIDLastSave="0" documentId="13_ncr:1_{2B63D384-911B-8E46-A103-CD2AB4EC8337}" xr6:coauthVersionLast="47" xr6:coauthVersionMax="47" xr10:uidLastSave="{00000000-0000-0000-0000-000000000000}"/>
  <bookViews>
    <workbookView xWindow="0" yWindow="0" windowWidth="29400" windowHeight="19120" xr2:uid="{00000000-000D-0000-FFFF-FFFF00000000}"/>
  </bookViews>
  <sheets>
    <sheet name="Daily Summary" sheetId="1" r:id="rId1"/>
    <sheet name="Workout Sessions" sheetId="2" r:id="rId2"/>
    <sheet name="Period Comparison" sheetId="3" r:id="rId3"/>
    <sheet name="Weekly Trends" sheetId="4" r:id="rId4"/>
    <sheet name="Notes" sheetId="5" r:id="rId5"/>
  </sheets>
  <definedNames>
    <definedName name="_xlnm._FilterDatabase" localSheetId="0" hidden="1">'Daily Summary'!$A$1:$X$141</definedName>
    <definedName name="_xlnm._FilterDatabase" localSheetId="1" hidden="1">'Workout Sessions'!$A$1:$K$140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0" i="2" l="1"/>
  <c r="I140" i="2"/>
  <c r="B140" i="2"/>
  <c r="K139" i="2"/>
  <c r="I139" i="2"/>
  <c r="B139" i="2"/>
  <c r="K138" i="2"/>
  <c r="I138" i="2"/>
  <c r="B138" i="2"/>
  <c r="K137" i="2"/>
  <c r="I137" i="2"/>
  <c r="B137" i="2"/>
  <c r="K136" i="2"/>
  <c r="I136" i="2"/>
  <c r="B136" i="2"/>
  <c r="K135" i="2"/>
  <c r="I135" i="2"/>
  <c r="B135" i="2"/>
  <c r="K134" i="2"/>
  <c r="I134" i="2"/>
  <c r="B134" i="2"/>
  <c r="K133" i="2"/>
  <c r="I133" i="2"/>
  <c r="B133" i="2"/>
  <c r="K132" i="2"/>
  <c r="I132" i="2"/>
  <c r="B132" i="2"/>
  <c r="K131" i="2"/>
  <c r="I131" i="2"/>
  <c r="B131" i="2"/>
  <c r="K130" i="2"/>
  <c r="I130" i="2"/>
  <c r="B130" i="2"/>
  <c r="K129" i="2"/>
  <c r="I129" i="2"/>
  <c r="B129" i="2"/>
  <c r="K128" i="2"/>
  <c r="I128" i="2"/>
  <c r="B128" i="2"/>
  <c r="K127" i="2"/>
  <c r="I127" i="2"/>
  <c r="B127" i="2"/>
  <c r="K126" i="2"/>
  <c r="I126" i="2"/>
  <c r="B126" i="2"/>
  <c r="K125" i="2"/>
  <c r="I125" i="2"/>
  <c r="B125" i="2"/>
  <c r="K124" i="2"/>
  <c r="I124" i="2"/>
  <c r="B124" i="2"/>
  <c r="K123" i="2"/>
  <c r="I123" i="2"/>
  <c r="B123" i="2"/>
  <c r="K122" i="2"/>
  <c r="I122" i="2"/>
  <c r="B122" i="2"/>
  <c r="K121" i="2"/>
  <c r="I121" i="2"/>
  <c r="B121" i="2"/>
  <c r="K120" i="2"/>
  <c r="I120" i="2"/>
  <c r="B120" i="2"/>
  <c r="K119" i="2"/>
  <c r="I119" i="2"/>
  <c r="B119" i="2"/>
  <c r="K118" i="2"/>
  <c r="I118" i="2"/>
  <c r="B118" i="2"/>
  <c r="K117" i="2"/>
  <c r="I117" i="2"/>
  <c r="B117" i="2"/>
  <c r="K116" i="2"/>
  <c r="I116" i="2"/>
  <c r="B116" i="2"/>
  <c r="K115" i="2"/>
  <c r="I115" i="2"/>
  <c r="B115" i="2"/>
  <c r="K114" i="2"/>
  <c r="I114" i="2"/>
  <c r="B114" i="2"/>
  <c r="K113" i="2"/>
  <c r="I113" i="2"/>
  <c r="B113" i="2"/>
  <c r="K112" i="2"/>
  <c r="I112" i="2"/>
  <c r="B112" i="2"/>
  <c r="K111" i="2"/>
  <c r="I111" i="2"/>
  <c r="B111" i="2"/>
  <c r="K110" i="2"/>
  <c r="I110" i="2"/>
  <c r="B110" i="2"/>
  <c r="K109" i="2"/>
  <c r="I109" i="2"/>
  <c r="B109" i="2"/>
  <c r="K108" i="2"/>
  <c r="I108" i="2"/>
  <c r="B108" i="2"/>
  <c r="K107" i="2"/>
  <c r="I107" i="2"/>
  <c r="B107" i="2"/>
  <c r="K106" i="2"/>
  <c r="I106" i="2"/>
  <c r="B106" i="2"/>
  <c r="K105" i="2"/>
  <c r="I105" i="2"/>
  <c r="B105" i="2"/>
  <c r="K104" i="2"/>
  <c r="I104" i="2"/>
  <c r="B104" i="2"/>
  <c r="K103" i="2"/>
  <c r="I103" i="2"/>
  <c r="B103" i="2"/>
  <c r="K102" i="2"/>
  <c r="I102" i="2"/>
  <c r="B102" i="2"/>
  <c r="K101" i="2"/>
  <c r="I101" i="2"/>
  <c r="B101" i="2"/>
  <c r="K100" i="2"/>
  <c r="I100" i="2"/>
  <c r="B100" i="2"/>
  <c r="K99" i="2"/>
  <c r="I99" i="2"/>
  <c r="B99" i="2"/>
  <c r="K98" i="2"/>
  <c r="I98" i="2"/>
  <c r="B98" i="2"/>
  <c r="K97" i="2"/>
  <c r="I97" i="2"/>
  <c r="B97" i="2"/>
  <c r="K96" i="2"/>
  <c r="I96" i="2"/>
  <c r="B96" i="2"/>
  <c r="K95" i="2"/>
  <c r="I95" i="2"/>
  <c r="B95" i="2"/>
  <c r="K94" i="2"/>
  <c r="I94" i="2"/>
  <c r="B94" i="2"/>
  <c r="K93" i="2"/>
  <c r="I93" i="2"/>
  <c r="B93" i="2"/>
  <c r="K92" i="2"/>
  <c r="I92" i="2"/>
  <c r="B92" i="2"/>
  <c r="K91" i="2"/>
  <c r="I91" i="2"/>
  <c r="B91" i="2"/>
  <c r="K90" i="2"/>
  <c r="I90" i="2"/>
  <c r="B90" i="2"/>
  <c r="K89" i="2"/>
  <c r="I89" i="2"/>
  <c r="B89" i="2"/>
  <c r="K88" i="2"/>
  <c r="I88" i="2"/>
  <c r="B88" i="2"/>
  <c r="K87" i="2"/>
  <c r="I87" i="2"/>
  <c r="B87" i="2"/>
  <c r="K86" i="2"/>
  <c r="I86" i="2"/>
  <c r="B86" i="2"/>
  <c r="K85" i="2"/>
  <c r="I85" i="2"/>
  <c r="B85" i="2"/>
  <c r="K84" i="2"/>
  <c r="I84" i="2"/>
  <c r="B84" i="2"/>
  <c r="K83" i="2"/>
  <c r="I83" i="2"/>
  <c r="B83" i="2"/>
  <c r="K82" i="2"/>
  <c r="I82" i="2"/>
  <c r="B82" i="2"/>
  <c r="K81" i="2"/>
  <c r="I81" i="2"/>
  <c r="B81" i="2"/>
  <c r="K80" i="2"/>
  <c r="I80" i="2"/>
  <c r="B80" i="2"/>
  <c r="K79" i="2"/>
  <c r="I79" i="2"/>
  <c r="B79" i="2"/>
  <c r="K78" i="2"/>
  <c r="I78" i="2"/>
  <c r="B78" i="2"/>
  <c r="K77" i="2"/>
  <c r="I77" i="2"/>
  <c r="B77" i="2"/>
  <c r="K76" i="2"/>
  <c r="I76" i="2"/>
  <c r="B76" i="2"/>
  <c r="K75" i="2"/>
  <c r="I75" i="2"/>
  <c r="B75" i="2"/>
  <c r="K74" i="2"/>
  <c r="I74" i="2"/>
  <c r="B74" i="2"/>
  <c r="K73" i="2"/>
  <c r="I73" i="2"/>
  <c r="B73" i="2"/>
  <c r="K72" i="2"/>
  <c r="I72" i="2"/>
  <c r="B72" i="2"/>
  <c r="K71" i="2"/>
  <c r="I71" i="2"/>
  <c r="B71" i="2"/>
  <c r="K70" i="2"/>
  <c r="I70" i="2"/>
  <c r="B70" i="2"/>
  <c r="K69" i="2"/>
  <c r="I69" i="2"/>
  <c r="B69" i="2"/>
  <c r="K68" i="2"/>
  <c r="I68" i="2"/>
  <c r="B68" i="2"/>
  <c r="K67" i="2"/>
  <c r="I67" i="2"/>
  <c r="B67" i="2"/>
  <c r="K66" i="2"/>
  <c r="I66" i="2"/>
  <c r="B66" i="2"/>
  <c r="K65" i="2"/>
  <c r="I65" i="2"/>
  <c r="B65" i="2"/>
  <c r="K64" i="2"/>
  <c r="I64" i="2"/>
  <c r="B64" i="2"/>
  <c r="K63" i="2"/>
  <c r="I63" i="2"/>
  <c r="B63" i="2"/>
  <c r="K62" i="2"/>
  <c r="I62" i="2"/>
  <c r="B62" i="2"/>
  <c r="K61" i="2"/>
  <c r="I61" i="2"/>
  <c r="B61" i="2"/>
  <c r="K60" i="2"/>
  <c r="I60" i="2"/>
  <c r="B60" i="2"/>
  <c r="K59" i="2"/>
  <c r="I59" i="2"/>
  <c r="B59" i="2"/>
  <c r="K58" i="2"/>
  <c r="I58" i="2"/>
  <c r="B58" i="2"/>
  <c r="K57" i="2"/>
  <c r="I57" i="2"/>
  <c r="B57" i="2"/>
  <c r="K56" i="2"/>
  <c r="I56" i="2"/>
  <c r="B56" i="2"/>
  <c r="K55" i="2"/>
  <c r="I55" i="2"/>
  <c r="B55" i="2"/>
  <c r="K54" i="2"/>
  <c r="I54" i="2"/>
  <c r="B54" i="2"/>
  <c r="K53" i="2"/>
  <c r="I53" i="2"/>
  <c r="B53" i="2"/>
  <c r="K52" i="2"/>
  <c r="I52" i="2"/>
  <c r="B52" i="2"/>
  <c r="K51" i="2"/>
  <c r="I51" i="2"/>
  <c r="B51" i="2"/>
  <c r="K50" i="2"/>
  <c r="I50" i="2"/>
  <c r="B50" i="2"/>
  <c r="K49" i="2"/>
  <c r="I49" i="2"/>
  <c r="B49" i="2"/>
  <c r="K48" i="2"/>
  <c r="I48" i="2"/>
  <c r="B48" i="2"/>
  <c r="K47" i="2"/>
  <c r="I47" i="2"/>
  <c r="B47" i="2"/>
  <c r="K46" i="2"/>
  <c r="I46" i="2"/>
  <c r="B46" i="2"/>
  <c r="K45" i="2"/>
  <c r="I45" i="2"/>
  <c r="B45" i="2"/>
  <c r="K44" i="2"/>
  <c r="I44" i="2"/>
  <c r="B44" i="2"/>
  <c r="K43" i="2"/>
  <c r="I43" i="2"/>
  <c r="B43" i="2"/>
  <c r="K42" i="2"/>
  <c r="I42" i="2"/>
  <c r="B42" i="2"/>
  <c r="K41" i="2"/>
  <c r="I41" i="2"/>
  <c r="B41" i="2"/>
  <c r="K40" i="2"/>
  <c r="I40" i="2"/>
  <c r="B40" i="2"/>
  <c r="K39" i="2"/>
  <c r="I39" i="2"/>
  <c r="B39" i="2"/>
  <c r="K38" i="2"/>
  <c r="I38" i="2"/>
  <c r="B38" i="2"/>
  <c r="K37" i="2"/>
  <c r="I37" i="2"/>
  <c r="B37" i="2"/>
  <c r="K36" i="2"/>
  <c r="I36" i="2"/>
  <c r="B36" i="2"/>
  <c r="K35" i="2"/>
  <c r="I35" i="2"/>
  <c r="B35" i="2"/>
  <c r="K34" i="2"/>
  <c r="I34" i="2"/>
  <c r="B34" i="2"/>
  <c r="K33" i="2"/>
  <c r="I33" i="2"/>
  <c r="B33" i="2"/>
  <c r="K32" i="2"/>
  <c r="I32" i="2"/>
  <c r="B32" i="2"/>
  <c r="K31" i="2"/>
  <c r="I31" i="2"/>
  <c r="B31" i="2"/>
  <c r="K30" i="2"/>
  <c r="I30" i="2"/>
  <c r="B30" i="2"/>
  <c r="K29" i="2"/>
  <c r="I29" i="2"/>
  <c r="B29" i="2"/>
  <c r="K28" i="2"/>
  <c r="I28" i="2"/>
  <c r="B28" i="2"/>
  <c r="K27" i="2"/>
  <c r="I27" i="2"/>
  <c r="B27" i="2"/>
  <c r="K26" i="2"/>
  <c r="I26" i="2"/>
  <c r="B26" i="2"/>
  <c r="K25" i="2"/>
  <c r="I25" i="2"/>
  <c r="B25" i="2"/>
  <c r="K24" i="2"/>
  <c r="I24" i="2"/>
  <c r="B24" i="2"/>
  <c r="K23" i="2"/>
  <c r="I23" i="2"/>
  <c r="B23" i="2"/>
  <c r="K22" i="2"/>
  <c r="I22" i="2"/>
  <c r="B22" i="2"/>
  <c r="K21" i="2"/>
  <c r="I21" i="2"/>
  <c r="B21" i="2"/>
  <c r="K20" i="2"/>
  <c r="I20" i="2"/>
  <c r="B20" i="2"/>
  <c r="K19" i="2"/>
  <c r="I19" i="2"/>
  <c r="B19" i="2"/>
  <c r="K18" i="2"/>
  <c r="I18" i="2"/>
  <c r="B18" i="2"/>
  <c r="K17" i="2"/>
  <c r="I17" i="2"/>
  <c r="B17" i="2"/>
  <c r="K16" i="2"/>
  <c r="I16" i="2"/>
  <c r="B16" i="2"/>
  <c r="K15" i="2"/>
  <c r="I15" i="2"/>
  <c r="B15" i="2"/>
  <c r="K14" i="2"/>
  <c r="I14" i="2"/>
  <c r="B14" i="2"/>
  <c r="K13" i="2"/>
  <c r="I13" i="2"/>
  <c r="B13" i="2"/>
  <c r="K12" i="2"/>
  <c r="I12" i="2"/>
  <c r="B12" i="2"/>
  <c r="K11" i="2"/>
  <c r="I11" i="2"/>
  <c r="B11" i="2"/>
  <c r="K10" i="2"/>
  <c r="I10" i="2"/>
  <c r="B10" i="2"/>
  <c r="K9" i="2"/>
  <c r="I9" i="2"/>
  <c r="B9" i="2"/>
  <c r="K8" i="2"/>
  <c r="I8" i="2"/>
  <c r="B8" i="2"/>
  <c r="K7" i="2"/>
  <c r="I7" i="2"/>
  <c r="B7" i="2"/>
  <c r="K6" i="2"/>
  <c r="I6" i="2"/>
  <c r="B6" i="2"/>
  <c r="K5" i="2"/>
  <c r="I5" i="2"/>
  <c r="B5" i="2"/>
  <c r="K4" i="2"/>
  <c r="I4" i="2"/>
  <c r="B4" i="2"/>
  <c r="K3" i="2"/>
  <c r="I3" i="2"/>
  <c r="B3" i="2"/>
  <c r="K2" i="2"/>
  <c r="I2" i="2"/>
  <c r="B2" i="2"/>
  <c r="B20" i="3" s="1"/>
  <c r="Q141" i="1"/>
  <c r="C141" i="1"/>
  <c r="B141" i="1"/>
  <c r="Q140" i="1"/>
  <c r="C140" i="1"/>
  <c r="B140" i="1"/>
  <c r="Q139" i="1"/>
  <c r="C139" i="1"/>
  <c r="B139" i="1"/>
  <c r="Q138" i="1"/>
  <c r="C138" i="1"/>
  <c r="B138" i="1"/>
  <c r="Q137" i="1"/>
  <c r="C137" i="1"/>
  <c r="B137" i="1"/>
  <c r="Q136" i="1"/>
  <c r="C136" i="1"/>
  <c r="B136" i="1"/>
  <c r="Q135" i="1"/>
  <c r="C135" i="1"/>
  <c r="B135" i="1"/>
  <c r="Q134" i="1"/>
  <c r="C134" i="1"/>
  <c r="B134" i="1"/>
  <c r="Q133" i="1"/>
  <c r="C133" i="1"/>
  <c r="B133" i="1"/>
  <c r="Q132" i="1"/>
  <c r="C132" i="1"/>
  <c r="B132" i="1"/>
  <c r="Q131" i="1"/>
  <c r="C131" i="1"/>
  <c r="B131" i="1"/>
  <c r="Q130" i="1"/>
  <c r="C130" i="1"/>
  <c r="B130" i="1"/>
  <c r="Q129" i="1"/>
  <c r="C129" i="1"/>
  <c r="B129" i="1"/>
  <c r="Q128" i="1"/>
  <c r="C128" i="1"/>
  <c r="B128" i="1"/>
  <c r="Q127" i="1"/>
  <c r="C127" i="1"/>
  <c r="B127" i="1"/>
  <c r="Q126" i="1"/>
  <c r="C126" i="1"/>
  <c r="B126" i="1"/>
  <c r="Q125" i="1"/>
  <c r="C125" i="1"/>
  <c r="B125" i="1"/>
  <c r="Q124" i="1"/>
  <c r="C124" i="1"/>
  <c r="B124" i="1"/>
  <c r="Q123" i="1"/>
  <c r="C123" i="1"/>
  <c r="B123" i="1"/>
  <c r="Q122" i="1"/>
  <c r="C122" i="1"/>
  <c r="B122" i="1"/>
  <c r="Q121" i="1"/>
  <c r="C121" i="1"/>
  <c r="B121" i="1"/>
  <c r="Q120" i="1"/>
  <c r="C120" i="1"/>
  <c r="B120" i="1"/>
  <c r="Q119" i="1"/>
  <c r="C119" i="1"/>
  <c r="B119" i="1"/>
  <c r="Q118" i="1"/>
  <c r="C118" i="1"/>
  <c r="B118" i="1"/>
  <c r="Q117" i="1"/>
  <c r="C117" i="1"/>
  <c r="B117" i="1"/>
  <c r="Q116" i="1"/>
  <c r="C116" i="1"/>
  <c r="B116" i="1"/>
  <c r="Q115" i="1"/>
  <c r="C115" i="1"/>
  <c r="B115" i="1"/>
  <c r="Q114" i="1"/>
  <c r="C114" i="1"/>
  <c r="B114" i="1"/>
  <c r="Q113" i="1"/>
  <c r="C113" i="1"/>
  <c r="B113" i="1"/>
  <c r="Q112" i="1"/>
  <c r="C112" i="1"/>
  <c r="B112" i="1"/>
  <c r="Q111" i="1"/>
  <c r="C111" i="1"/>
  <c r="B111" i="1"/>
  <c r="Q110" i="1"/>
  <c r="C110" i="1"/>
  <c r="B110" i="1"/>
  <c r="Q109" i="1"/>
  <c r="C109" i="1"/>
  <c r="B109" i="1"/>
  <c r="Q108" i="1"/>
  <c r="C108" i="1"/>
  <c r="B108" i="1"/>
  <c r="Q107" i="1"/>
  <c r="C107" i="1"/>
  <c r="B107" i="1"/>
  <c r="Q106" i="1"/>
  <c r="C106" i="1"/>
  <c r="B106" i="1"/>
  <c r="Q105" i="1"/>
  <c r="C105" i="1"/>
  <c r="B105" i="1"/>
  <c r="Q104" i="1"/>
  <c r="C104" i="1"/>
  <c r="B104" i="1"/>
  <c r="Q103" i="1"/>
  <c r="C103" i="1"/>
  <c r="B103" i="1"/>
  <c r="Q102" i="1"/>
  <c r="C102" i="1"/>
  <c r="B102" i="1"/>
  <c r="Q101" i="1"/>
  <c r="C101" i="1"/>
  <c r="B101" i="1"/>
  <c r="Q100" i="1"/>
  <c r="C100" i="1"/>
  <c r="B100" i="1"/>
  <c r="Q99" i="1"/>
  <c r="C99" i="1"/>
  <c r="B99" i="1"/>
  <c r="Q98" i="1"/>
  <c r="C98" i="1"/>
  <c r="B98" i="1"/>
  <c r="Q97" i="1"/>
  <c r="C97" i="1"/>
  <c r="B97" i="1"/>
  <c r="Q96" i="1"/>
  <c r="C96" i="1"/>
  <c r="B96" i="1"/>
  <c r="Q95" i="1"/>
  <c r="C95" i="1"/>
  <c r="B95" i="1"/>
  <c r="Q94" i="1"/>
  <c r="C94" i="1"/>
  <c r="B94" i="1"/>
  <c r="Q93" i="1"/>
  <c r="C93" i="1"/>
  <c r="B93" i="1"/>
  <c r="Q92" i="1"/>
  <c r="C92" i="1"/>
  <c r="B92" i="1"/>
  <c r="Q91" i="1"/>
  <c r="C91" i="1"/>
  <c r="B91" i="1"/>
  <c r="Q90" i="1"/>
  <c r="C90" i="1"/>
  <c r="B90" i="1"/>
  <c r="Q89" i="1"/>
  <c r="C89" i="1"/>
  <c r="B89" i="1"/>
  <c r="Q88" i="1"/>
  <c r="C88" i="1"/>
  <c r="B88" i="1"/>
  <c r="Q87" i="1"/>
  <c r="C87" i="1"/>
  <c r="B87" i="1"/>
  <c r="Q86" i="1"/>
  <c r="C86" i="1"/>
  <c r="B86" i="1"/>
  <c r="Q85" i="1"/>
  <c r="C85" i="1"/>
  <c r="B85" i="1"/>
  <c r="Q84" i="1"/>
  <c r="C84" i="1"/>
  <c r="B84" i="1"/>
  <c r="Q83" i="1"/>
  <c r="C83" i="1"/>
  <c r="B83" i="1"/>
  <c r="Q82" i="1"/>
  <c r="C82" i="1"/>
  <c r="B82" i="1"/>
  <c r="Q81" i="1"/>
  <c r="C81" i="1"/>
  <c r="B81" i="1"/>
  <c r="Q80" i="1"/>
  <c r="C80" i="1"/>
  <c r="B80" i="1"/>
  <c r="Q79" i="1"/>
  <c r="C79" i="1"/>
  <c r="B79" i="1"/>
  <c r="Q78" i="1"/>
  <c r="C78" i="1"/>
  <c r="B78" i="1"/>
  <c r="Q77" i="1"/>
  <c r="C77" i="1"/>
  <c r="B77" i="1"/>
  <c r="Q76" i="1"/>
  <c r="C76" i="1"/>
  <c r="B76" i="1"/>
  <c r="Q75" i="1"/>
  <c r="C75" i="1"/>
  <c r="B75" i="1"/>
  <c r="Q74" i="1"/>
  <c r="C74" i="1"/>
  <c r="B74" i="1"/>
  <c r="Q73" i="1"/>
  <c r="C73" i="1"/>
  <c r="B73" i="1"/>
  <c r="Q72" i="1"/>
  <c r="C72" i="1"/>
  <c r="B72" i="1"/>
  <c r="Q71" i="1"/>
  <c r="C71" i="1"/>
  <c r="B71" i="1"/>
  <c r="Q70" i="1"/>
  <c r="C70" i="1"/>
  <c r="B70" i="1"/>
  <c r="Q69" i="1"/>
  <c r="C69" i="1"/>
  <c r="B69" i="1"/>
  <c r="Q68" i="1"/>
  <c r="C68" i="1"/>
  <c r="B68" i="1"/>
  <c r="Q67" i="1"/>
  <c r="C67" i="1"/>
  <c r="B67" i="1"/>
  <c r="Q66" i="1"/>
  <c r="C66" i="1"/>
  <c r="B66" i="1"/>
  <c r="Q65" i="1"/>
  <c r="C65" i="1"/>
  <c r="B65" i="1"/>
  <c r="Q64" i="1"/>
  <c r="C64" i="1"/>
  <c r="B64" i="1"/>
  <c r="Q63" i="1"/>
  <c r="C63" i="1"/>
  <c r="B63" i="1"/>
  <c r="Q62" i="1"/>
  <c r="C62" i="1"/>
  <c r="B62" i="1"/>
  <c r="Q61" i="1"/>
  <c r="C61" i="1"/>
  <c r="B61" i="1"/>
  <c r="Q60" i="1"/>
  <c r="C60" i="1"/>
  <c r="B60" i="1"/>
  <c r="Q59" i="1"/>
  <c r="C59" i="1"/>
  <c r="B59" i="1"/>
  <c r="Q58" i="1"/>
  <c r="C58" i="1"/>
  <c r="B58" i="1"/>
  <c r="Q57" i="1"/>
  <c r="C57" i="1"/>
  <c r="B57" i="1"/>
  <c r="Q56" i="1"/>
  <c r="C56" i="1"/>
  <c r="B56" i="1"/>
  <c r="Q55" i="1"/>
  <c r="C55" i="1"/>
  <c r="B55" i="1"/>
  <c r="Q54" i="1"/>
  <c r="C54" i="1"/>
  <c r="B54" i="1"/>
  <c r="Q53" i="1"/>
  <c r="C53" i="1"/>
  <c r="B53" i="1"/>
  <c r="Q52" i="1"/>
  <c r="C52" i="1"/>
  <c r="B52" i="1"/>
  <c r="Q51" i="1"/>
  <c r="C51" i="1"/>
  <c r="B51" i="1"/>
  <c r="Q50" i="1"/>
  <c r="C50" i="1"/>
  <c r="B50" i="1"/>
  <c r="Q49" i="1"/>
  <c r="C49" i="1"/>
  <c r="B49" i="1"/>
  <c r="Q48" i="1"/>
  <c r="C48" i="1"/>
  <c r="B48" i="1"/>
  <c r="Q47" i="1"/>
  <c r="C47" i="1"/>
  <c r="B47" i="1"/>
  <c r="Q46" i="1"/>
  <c r="C46" i="1"/>
  <c r="B46" i="1"/>
  <c r="Q45" i="1"/>
  <c r="C45" i="1"/>
  <c r="B45" i="1"/>
  <c r="Q44" i="1"/>
  <c r="C44" i="1"/>
  <c r="B44" i="1"/>
  <c r="Q43" i="1"/>
  <c r="C43" i="1"/>
  <c r="B43" i="1"/>
  <c r="Q42" i="1"/>
  <c r="C42" i="1"/>
  <c r="B42" i="1"/>
  <c r="Q41" i="1"/>
  <c r="C41" i="1"/>
  <c r="B41" i="1"/>
  <c r="Q40" i="1"/>
  <c r="C40" i="1"/>
  <c r="B40" i="1"/>
  <c r="Q39" i="1"/>
  <c r="C39" i="1"/>
  <c r="B39" i="1"/>
  <c r="Q38" i="1"/>
  <c r="C38" i="1"/>
  <c r="B38" i="1"/>
  <c r="Q37" i="1"/>
  <c r="C37" i="1"/>
  <c r="B37" i="1"/>
  <c r="Q36" i="1"/>
  <c r="C36" i="1"/>
  <c r="B36" i="1"/>
  <c r="Q35" i="1"/>
  <c r="C35" i="1"/>
  <c r="B35" i="1"/>
  <c r="Q34" i="1"/>
  <c r="C34" i="1"/>
  <c r="B34" i="1"/>
  <c r="Q33" i="1"/>
  <c r="C33" i="1"/>
  <c r="B33" i="1"/>
  <c r="Q32" i="1"/>
  <c r="C32" i="1"/>
  <c r="B32" i="1"/>
  <c r="Q31" i="1"/>
  <c r="C31" i="1"/>
  <c r="B31" i="1"/>
  <c r="Q30" i="1"/>
  <c r="C30" i="1"/>
  <c r="B30" i="1"/>
  <c r="Q29" i="1"/>
  <c r="C29" i="1"/>
  <c r="B29" i="1"/>
  <c r="Q28" i="1"/>
  <c r="C28" i="1"/>
  <c r="B28" i="1"/>
  <c r="Q27" i="1"/>
  <c r="C27" i="1"/>
  <c r="B27" i="1"/>
  <c r="Q26" i="1"/>
  <c r="C26" i="1"/>
  <c r="B26" i="1"/>
  <c r="Q25" i="1"/>
  <c r="C25" i="1"/>
  <c r="B25" i="1"/>
  <c r="Q24" i="1"/>
  <c r="C24" i="1"/>
  <c r="B24" i="1"/>
  <c r="Q23" i="1"/>
  <c r="C23" i="1"/>
  <c r="B23" i="1"/>
  <c r="Q22" i="1"/>
  <c r="C22" i="1"/>
  <c r="B22" i="1"/>
  <c r="Q21" i="1"/>
  <c r="C21" i="1"/>
  <c r="B21" i="1"/>
  <c r="Q20" i="1"/>
  <c r="C20" i="1"/>
  <c r="B20" i="1"/>
  <c r="Q19" i="1"/>
  <c r="C19" i="1"/>
  <c r="B19" i="1"/>
  <c r="Q18" i="1"/>
  <c r="C18" i="1"/>
  <c r="B18" i="1"/>
  <c r="Q17" i="1"/>
  <c r="C17" i="1"/>
  <c r="B17" i="1"/>
  <c r="Q16" i="1"/>
  <c r="C16" i="1"/>
  <c r="B16" i="1"/>
  <c r="Q15" i="1"/>
  <c r="C15" i="1"/>
  <c r="B15" i="1"/>
  <c r="Q14" i="1"/>
  <c r="C14" i="1"/>
  <c r="B14" i="1"/>
  <c r="Q13" i="1"/>
  <c r="C13" i="1"/>
  <c r="B13" i="1"/>
  <c r="Q12" i="1"/>
  <c r="C12" i="1"/>
  <c r="B12" i="1"/>
  <c r="Q11" i="1"/>
  <c r="C11" i="1"/>
  <c r="B11" i="1"/>
  <c r="Q10" i="1"/>
  <c r="C10" i="1"/>
  <c r="B10" i="1"/>
  <c r="Q9" i="1"/>
  <c r="C9" i="1"/>
  <c r="B9" i="1"/>
  <c r="Q8" i="1"/>
  <c r="C8" i="1"/>
  <c r="B8" i="1"/>
  <c r="Q7" i="1"/>
  <c r="C7" i="1"/>
  <c r="B7" i="1"/>
  <c r="Q6" i="1"/>
  <c r="C6" i="1"/>
  <c r="B6" i="1"/>
  <c r="Q5" i="1"/>
  <c r="C5" i="1"/>
  <c r="B5" i="1"/>
  <c r="Q4" i="1"/>
  <c r="C4" i="1"/>
  <c r="B4" i="1"/>
  <c r="Q3" i="1"/>
  <c r="C3" i="1"/>
  <c r="B3" i="1"/>
  <c r="Q2" i="1"/>
  <c r="C2" i="1"/>
  <c r="B2" i="1"/>
  <c r="C16" i="3" s="1"/>
  <c r="G21" i="4" l="1"/>
  <c r="B14" i="3"/>
  <c r="B13" i="3"/>
  <c r="F20" i="4"/>
  <c r="B3" i="3"/>
  <c r="B5" i="3"/>
  <c r="B7" i="3"/>
  <c r="B9" i="3"/>
  <c r="B11" i="3"/>
  <c r="B15" i="3"/>
  <c r="B17" i="3"/>
  <c r="B19" i="3"/>
  <c r="B2" i="4"/>
  <c r="D3" i="4"/>
  <c r="F4" i="4"/>
  <c r="B6" i="4"/>
  <c r="D7" i="4"/>
  <c r="F8" i="4"/>
  <c r="B10" i="4"/>
  <c r="D11" i="4"/>
  <c r="F12" i="4"/>
  <c r="B14" i="4"/>
  <c r="D15" i="4"/>
  <c r="F16" i="4"/>
  <c r="B18" i="4"/>
  <c r="D19" i="4"/>
  <c r="C3" i="3"/>
  <c r="D3" i="3" s="1"/>
  <c r="C5" i="3"/>
  <c r="D5" i="3" s="1"/>
  <c r="C7" i="3"/>
  <c r="D7" i="3" s="1"/>
  <c r="C9" i="3"/>
  <c r="D9" i="3" s="1"/>
  <c r="C11" i="3"/>
  <c r="D11" i="3" s="1"/>
  <c r="C13" i="3"/>
  <c r="C15" i="3"/>
  <c r="D15" i="3" s="1"/>
  <c r="C17" i="3"/>
  <c r="C19" i="3"/>
  <c r="C2" i="4"/>
  <c r="E3" i="4"/>
  <c r="G4" i="4"/>
  <c r="C6" i="4"/>
  <c r="E7" i="4"/>
  <c r="G8" i="4"/>
  <c r="C10" i="4"/>
  <c r="E11" i="4"/>
  <c r="G12" i="4"/>
  <c r="C14" i="4"/>
  <c r="E15" i="4"/>
  <c r="G16" i="4"/>
  <c r="C18" i="4"/>
  <c r="E19" i="4"/>
  <c r="G20" i="4"/>
  <c r="D2" i="4"/>
  <c r="F3" i="4"/>
  <c r="B5" i="4"/>
  <c r="D6" i="4"/>
  <c r="F7" i="4"/>
  <c r="B9" i="4"/>
  <c r="D10" i="4"/>
  <c r="F11" i="4"/>
  <c r="B13" i="4"/>
  <c r="D14" i="4"/>
  <c r="F15" i="4"/>
  <c r="B17" i="4"/>
  <c r="D18" i="4"/>
  <c r="F19" i="4"/>
  <c r="B21" i="4"/>
  <c r="E2" i="4"/>
  <c r="G3" i="4"/>
  <c r="C5" i="4"/>
  <c r="E6" i="4"/>
  <c r="G7" i="4"/>
  <c r="C9" i="4"/>
  <c r="E10" i="4"/>
  <c r="G11" i="4"/>
  <c r="C13" i="4"/>
  <c r="E14" i="4"/>
  <c r="G15" i="4"/>
  <c r="C17" i="4"/>
  <c r="E18" i="4"/>
  <c r="G19" i="4"/>
  <c r="C21" i="4"/>
  <c r="B12" i="3"/>
  <c r="D21" i="4"/>
  <c r="B20" i="4"/>
  <c r="C2" i="3"/>
  <c r="C4" i="3"/>
  <c r="D4" i="3" s="1"/>
  <c r="C6" i="3"/>
  <c r="C8" i="3"/>
  <c r="C10" i="3"/>
  <c r="C12" i="3"/>
  <c r="D12" i="3" s="1"/>
  <c r="C14" i="3"/>
  <c r="D14" i="3" s="1"/>
  <c r="C18" i="3"/>
  <c r="C20" i="3"/>
  <c r="D20" i="3" s="1"/>
  <c r="G2" i="4"/>
  <c r="C4" i="4"/>
  <c r="E5" i="4"/>
  <c r="G6" i="4"/>
  <c r="C8" i="4"/>
  <c r="E9" i="4"/>
  <c r="G10" i="4"/>
  <c r="C12" i="4"/>
  <c r="E13" i="4"/>
  <c r="G14" i="4"/>
  <c r="C16" i="4"/>
  <c r="E17" i="4"/>
  <c r="G18" i="4"/>
  <c r="C20" i="4"/>
  <c r="E21" i="4"/>
  <c r="B2" i="3"/>
  <c r="E2" i="3" s="1"/>
  <c r="B6" i="3"/>
  <c r="B10" i="3"/>
  <c r="E10" i="3" s="1"/>
  <c r="B16" i="3"/>
  <c r="E16" i="3" s="1"/>
  <c r="B18" i="3"/>
  <c r="F18" i="4"/>
  <c r="B3" i="4"/>
  <c r="D4" i="4"/>
  <c r="F5" i="4"/>
  <c r="B7" i="4"/>
  <c r="D8" i="4"/>
  <c r="F9" i="4"/>
  <c r="B11" i="4"/>
  <c r="D12" i="4"/>
  <c r="F13" i="4"/>
  <c r="B15" i="4"/>
  <c r="D16" i="4"/>
  <c r="F17" i="4"/>
  <c r="B19" i="4"/>
  <c r="D20" i="4"/>
  <c r="F21" i="4"/>
  <c r="B4" i="3"/>
  <c r="B8" i="3"/>
  <c r="F2" i="4"/>
  <c r="B4" i="4"/>
  <c r="D5" i="4"/>
  <c r="F6" i="4"/>
  <c r="B8" i="4"/>
  <c r="D9" i="4"/>
  <c r="F10" i="4"/>
  <c r="B12" i="4"/>
  <c r="D13" i="4"/>
  <c r="F14" i="4"/>
  <c r="B16" i="4"/>
  <c r="D17" i="4"/>
  <c r="C3" i="4"/>
  <c r="E4" i="4"/>
  <c r="G5" i="4"/>
  <c r="C7" i="4"/>
  <c r="E8" i="4"/>
  <c r="G9" i="4"/>
  <c r="C11" i="4"/>
  <c r="E12" i="4"/>
  <c r="G13" i="4"/>
  <c r="C15" i="4"/>
  <c r="E16" i="4"/>
  <c r="G17" i="4"/>
  <c r="C19" i="4"/>
  <c r="E20" i="4"/>
  <c r="D6" i="3" l="1"/>
  <c r="D18" i="3"/>
  <c r="D19" i="3"/>
  <c r="E17" i="3"/>
  <c r="E13" i="3"/>
  <c r="E8" i="3"/>
  <c r="D8" i="3"/>
  <c r="E7" i="3"/>
  <c r="E5" i="3"/>
  <c r="E3" i="3"/>
  <c r="E19" i="3"/>
  <c r="D17" i="3"/>
  <c r="E15" i="3"/>
  <c r="E20" i="3"/>
  <c r="E4" i="3"/>
  <c r="E12" i="3"/>
  <c r="E11" i="3"/>
  <c r="D16" i="3"/>
  <c r="E6" i="3"/>
  <c r="D2" i="3"/>
  <c r="E18" i="3"/>
  <c r="D10" i="3"/>
  <c r="D13" i="3"/>
  <c r="E9" i="3"/>
  <c r="E1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B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P1 = 2026-05-12 to 2026-07-20 (first export). P2 = 2026-07-21 onward (second export).</t>
        </r>
      </text>
    </comment>
    <comment ref="I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Lowest HEARTRATE_AUTO reading of the day. The export has no dedicated resting-HR field.</t>
        </r>
      </text>
    </comment>
    <comment ref="L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Not present in any export file.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I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Blank when distance &lt; 500 m: those sessions are GPS dropouts (e.g. 2026-06-25 run: 59 min for 58 m), so their pace isn't real.</t>
        </r>
      </text>
    </comment>
  </commentList>
</comments>
</file>

<file path=xl/sharedStrings.xml><?xml version="1.0" encoding="utf-8"?>
<sst xmlns="http://schemas.openxmlformats.org/spreadsheetml/2006/main" count="875" uniqueCount="592">
  <si>
    <t>Date</t>
  </si>
  <si>
    <t>Period</t>
  </si>
  <si>
    <t>Week Start (Mon)</t>
  </si>
  <si>
    <t>Steps</t>
  </si>
  <si>
    <t>Distance (m)</t>
  </si>
  <si>
    <t>Run Distance (m)</t>
  </si>
  <si>
    <t>Activity Calories (kcal)</t>
  </si>
  <si>
    <t>Active Minutes</t>
  </si>
  <si>
    <t>Resting HR (bpm)</t>
  </si>
  <si>
    <t>Avg HR (bpm)</t>
  </si>
  <si>
    <t>Max HR (bpm)</t>
  </si>
  <si>
    <t>HRV</t>
  </si>
  <si>
    <t>Workout(s)</t>
  </si>
  <si>
    <t>Workout Count</t>
  </si>
  <si>
    <t>Workout Minutes</t>
  </si>
  <si>
    <t>Workout Calories (kcal)</t>
  </si>
  <si>
    <t>Total Sleep (min)</t>
  </si>
  <si>
    <t>Deep Sleep (min)</t>
  </si>
  <si>
    <t>Light Sleep (min)</t>
  </si>
  <si>
    <t>REM Sleep (min)</t>
  </si>
  <si>
    <t>Time Awake (min)</t>
  </si>
  <si>
    <t>Sleep Start (UTC)</t>
  </si>
  <si>
    <t>Sleep End (UTC)</t>
  </si>
  <si>
    <t>Naps (count)</t>
  </si>
  <si>
    <t>N/A</t>
  </si>
  <si>
    <t>2026-05-11 20:59:00+0000</t>
  </si>
  <si>
    <t>2026-05-12 06:05:00+0000</t>
  </si>
  <si>
    <t>Strength/Gym (indoor) (28 min); Indoor cardio/HIIT (94 min)</t>
  </si>
  <si>
    <t>2026-05-12 21:55:00+0000</t>
  </si>
  <si>
    <t>2026-05-13 05:06:00+0000</t>
  </si>
  <si>
    <t>Strength/Gym (indoor) (55 min)</t>
  </si>
  <si>
    <t>2026-05-13 21:34:00+0000</t>
  </si>
  <si>
    <t>2026-05-14 06:16:00+0000</t>
  </si>
  <si>
    <t>Strength/Gym (indoor) (52 min)</t>
  </si>
  <si>
    <t>2026-05-14 22:46:00+0000</t>
  </si>
  <si>
    <t>2026-05-15 07:00:00+0000</t>
  </si>
  <si>
    <t>2026-05-15 22:32:00+0000</t>
  </si>
  <si>
    <t>2026-05-16 06:07:00+0000</t>
  </si>
  <si>
    <t>2026-05-17 01:54:00+0000</t>
  </si>
  <si>
    <t>2026-05-17 08:54:00+0000</t>
  </si>
  <si>
    <t>Strength/Gym (indoor) (45 min); Running (outdoor) (31 min)</t>
  </si>
  <si>
    <t>2026-05-17 21:41:00+0000</t>
  </si>
  <si>
    <t>2026-05-18 06:07:00+0000</t>
  </si>
  <si>
    <t>Walk/Jog (outdoor) (44 min); Strength/Gym (indoor) (60 min)</t>
  </si>
  <si>
    <t>2026-05-18 23:28:00+0000</t>
  </si>
  <si>
    <t>2026-05-19 08:16:00+0000</t>
  </si>
  <si>
    <t>Indoor workout (51 min)</t>
  </si>
  <si>
    <t>2026-05-19 22:32:00+0000</t>
  </si>
  <si>
    <t>2026-05-20 06:58:00+0000</t>
  </si>
  <si>
    <t>Strength/Gym (indoor) (51 min); Running (outdoor) (28 min)</t>
  </si>
  <si>
    <t>2026-05-20 22:29:00+0000</t>
  </si>
  <si>
    <t>2026-05-21 04:43:00+0000</t>
  </si>
  <si>
    <t>Strength/Gym (indoor) (44 min)</t>
  </si>
  <si>
    <t>2026-05-22 01:04:00+0000</t>
  </si>
  <si>
    <t>2026-05-22 09:00:00+0000</t>
  </si>
  <si>
    <t>Indoor workout (high intensity) (71 min)</t>
  </si>
  <si>
    <t>2026-05-22 22:51:00+0000</t>
  </si>
  <si>
    <t>2026-05-23 07:39:00+0000</t>
  </si>
  <si>
    <t>Running (outdoor) (40 min); Running (outdoor) (19 min); Indoor cardio/HIIT (66 min)</t>
  </si>
  <si>
    <t>2026-05-23 21:15:00+0000</t>
  </si>
  <si>
    <t>2026-05-24 00:30:00+0000</t>
  </si>
  <si>
    <t>Strength/Gym (indoor) (37 min)</t>
  </si>
  <si>
    <t>2026-05-24 21:41:00+0000</t>
  </si>
  <si>
    <t>2026-05-25 08:53:00+0000</t>
  </si>
  <si>
    <t>Indoor workout (high intensity) (65 min)</t>
  </si>
  <si>
    <t>2026-05-25 23:05:00+0000</t>
  </si>
  <si>
    <t>2026-05-26 01:31:00+0000</t>
  </si>
  <si>
    <t>Indoor workout (52 min); Strength/Gym (indoor) (42 min)</t>
  </si>
  <si>
    <t>2026-05-26 21:25:00+0000</t>
  </si>
  <si>
    <t>2026-05-27 05:56:00+0000</t>
  </si>
  <si>
    <t>2026-05-28 04:23:00+0000</t>
  </si>
  <si>
    <t>2026-05-28 07:39:00+0000</t>
  </si>
  <si>
    <t>Running (outdoor) (66 min); Walk/Jog (outdoor) (28 min); Indoor workout (46 min)</t>
  </si>
  <si>
    <t>2026-05-28 17:17:00+0000</t>
  </si>
  <si>
    <t>2026-05-28 23:08:00+0000</t>
  </si>
  <si>
    <t>Indoor cardio/HIIT (90 min)</t>
  </si>
  <si>
    <t>2026-05-30 05:02:00+0000</t>
  </si>
  <si>
    <t>2026-05-30 08:19:00+0000</t>
  </si>
  <si>
    <t>Running (outdoor) (21 min); Strength/Gym (indoor) (31 min); Indoor cardio/HIIT (108 min)</t>
  </si>
  <si>
    <t>2026-05-30 19:34:00+0000</t>
  </si>
  <si>
    <t>2026-05-31 01:31:00+0000</t>
  </si>
  <si>
    <t>2026-05-31 22:10:00+0000</t>
  </si>
  <si>
    <t>2026-06-01 08:20:00+0000</t>
  </si>
  <si>
    <t>2026-06-01 20:13:00+0000</t>
  </si>
  <si>
    <t>2026-06-01 23:46:00+0000</t>
  </si>
  <si>
    <t>2026-06-02 19:15:00+0000</t>
  </si>
  <si>
    <t>2026-06-03 02:44:00+0000</t>
  </si>
  <si>
    <t>Walk/Jog (outdoor) (15 min); Indoor workout (71 min)</t>
  </si>
  <si>
    <t>2026-06-03 20:00:00+0000</t>
  </si>
  <si>
    <t>2026-06-04 02:47:00+0000</t>
  </si>
  <si>
    <t>2026-06-04 19:41:00+0000</t>
  </si>
  <si>
    <t>2026-06-05 03:50:00+0000</t>
  </si>
  <si>
    <t>2026-06-05 20:25:00+0000</t>
  </si>
  <si>
    <t>2026-06-06 03:33:00+0000</t>
  </si>
  <si>
    <t>2026-06-06 20:20:00+0000</t>
  </si>
  <si>
    <t>2026-06-07 02:32:00+0000</t>
  </si>
  <si>
    <t>Strength/Gym (indoor) (113 min)</t>
  </si>
  <si>
    <t>2026-06-07 21:20:00+0000</t>
  </si>
  <si>
    <t>2026-06-08 02:18:00+0000</t>
  </si>
  <si>
    <t>Strength/Gym (indoor) (73 min)</t>
  </si>
  <si>
    <t>2026-06-08 20:51:00+0000</t>
  </si>
  <si>
    <t>2026-06-09 03:39:00+0000</t>
  </si>
  <si>
    <t>Indoor workout (high intensity) (54 min)</t>
  </si>
  <si>
    <t>2026-06-09 21:09:00+0000</t>
  </si>
  <si>
    <t>2026-06-10 02:56:00+0000</t>
  </si>
  <si>
    <t>Strength/Gym (indoor) (105 min)</t>
  </si>
  <si>
    <t>2026-06-10 21:26:00+0000</t>
  </si>
  <si>
    <t>2026-06-11 03:24:00+0000</t>
  </si>
  <si>
    <t>Indoor workout (73 min)</t>
  </si>
  <si>
    <t>2026-06-11 23:58:00+0000</t>
  </si>
  <si>
    <t>2026-06-12 03:43:00+0000</t>
  </si>
  <si>
    <t>Strength/Gym (indoor) (65 min)</t>
  </si>
  <si>
    <t>2026-06-12 21:06:00+0000</t>
  </si>
  <si>
    <t>2026-06-13 04:55:00+0000</t>
  </si>
  <si>
    <t>Walk/Jog (outdoor) (38 min); Indoor cardio/HIIT (108 min)</t>
  </si>
  <si>
    <t>2026-06-13 20:06:00+0000</t>
  </si>
  <si>
    <t>2026-06-14 04:24:00+0000</t>
  </si>
  <si>
    <t>2026-06-14 21:52:00+0000</t>
  </si>
  <si>
    <t>2026-06-15 03:57:00+0000</t>
  </si>
  <si>
    <t>2026-06-15 20:37:00+0000</t>
  </si>
  <si>
    <t>2026-06-16 03:58:00+0000</t>
  </si>
  <si>
    <t>Running (outdoor) (51 min)</t>
  </si>
  <si>
    <t>2026-06-16 19:18:00+0000</t>
  </si>
  <si>
    <t>2026-06-16 23:14:00+0000</t>
  </si>
  <si>
    <t>Indoor workout (271 min)</t>
  </si>
  <si>
    <t>2026-06-17 23:05:00+0000</t>
  </si>
  <si>
    <t>2026-06-18 05:26:00+0000</t>
  </si>
  <si>
    <t>Strength/Gym (indoor) (60 min)</t>
  </si>
  <si>
    <t>2026-06-18 21:37:00+0000</t>
  </si>
  <si>
    <t>2026-06-19 03:26:00+0000</t>
  </si>
  <si>
    <t>Strength/Gym (indoor) (59 min)</t>
  </si>
  <si>
    <t>2026-06-19 22:13:00+0000</t>
  </si>
  <si>
    <t>2026-06-20 07:22:00+0000</t>
  </si>
  <si>
    <t>Indoor workout (62 min)</t>
  </si>
  <si>
    <t>2026-06-20 21:33:00+0000</t>
  </si>
  <si>
    <t>2026-06-21 01:05:00+0000</t>
  </si>
  <si>
    <t>Strength/Gym (indoor) (69 min)</t>
  </si>
  <si>
    <t>2026-06-21 20:52:00+0000</t>
  </si>
  <si>
    <t>2026-06-22 03:59:00+0000</t>
  </si>
  <si>
    <t>2026-06-22 21:54:00+0000</t>
  </si>
  <si>
    <t>2026-06-23 04:17:00+0000</t>
  </si>
  <si>
    <t>2026-06-23 21:28:00+0000</t>
  </si>
  <si>
    <t>2026-06-24 05:06:00+0000</t>
  </si>
  <si>
    <t>Strength/Gym (indoor) (0 min); Running (outdoor) (59 min)</t>
  </si>
  <si>
    <t>2026-06-24 22:35:00+0000</t>
  </si>
  <si>
    <t>2026-06-25 03:44:00+0000</t>
  </si>
  <si>
    <t>Strength/Gym (indoor) (67 min)</t>
  </si>
  <si>
    <t>2026-06-25 22:04:00+0000</t>
  </si>
  <si>
    <t>2026-06-26 05:25:00+0000</t>
  </si>
  <si>
    <t>Indoor cardio/HIIT (105 min)</t>
  </si>
  <si>
    <t>2026-06-27 00:33:00+0000</t>
  </si>
  <si>
    <t>2026-06-27 04:10:00+0000</t>
  </si>
  <si>
    <t>Running (outdoor) (31 min); Indoor workout (30 min)</t>
  </si>
  <si>
    <t>2026-06-27 19:55:00+0000</t>
  </si>
  <si>
    <t>2026-06-28 00:39:00+0000</t>
  </si>
  <si>
    <t>2026-06-28 21:31:00+0000</t>
  </si>
  <si>
    <t>2026-06-29 05:07:00+0000</t>
  </si>
  <si>
    <t>Strength/Gym (indoor) (48 min)</t>
  </si>
  <si>
    <t>2026-06-29 21:10:00+0000</t>
  </si>
  <si>
    <t>2026-06-30 04:21:00+0000</t>
  </si>
  <si>
    <t>Running (outdoor) (104 min)</t>
  </si>
  <si>
    <t>2026-06-30 18:40:00+0000</t>
  </si>
  <si>
    <t>2026-06-30 22:34:00+0000</t>
  </si>
  <si>
    <t>2026-07-01 20:47:00+0000</t>
  </si>
  <si>
    <t>2026-07-02 03:53:00+0000</t>
  </si>
  <si>
    <t>2026-07-02 21:06:00+0000</t>
  </si>
  <si>
    <t>2026-07-03 05:14:00+0000</t>
  </si>
  <si>
    <t>2026-07-04 01:28:00+0000</t>
  </si>
  <si>
    <t>2026-07-04 07:04:00+0000</t>
  </si>
  <si>
    <t>Running (outdoor) (136 min)</t>
  </si>
  <si>
    <t>2026-07-04 15:28:00+0000</t>
  </si>
  <si>
    <t>2026-07-04 22:47:00+0000</t>
  </si>
  <si>
    <t>Strength/Gym (indoor) (77 min)</t>
  </si>
  <si>
    <t>2026-07-05 21:35:00+0000</t>
  </si>
  <si>
    <t>2026-07-06 06:52:00+0000</t>
  </si>
  <si>
    <t>2026-07-06 22:19:00+0000</t>
  </si>
  <si>
    <t>2026-07-07 05:04:00+0000</t>
  </si>
  <si>
    <t>2026-07-07 21:09:00+0000</t>
  </si>
  <si>
    <t>2026-07-08 05:56:00+0000</t>
  </si>
  <si>
    <t>2026-07-08 22:00:00+0000</t>
  </si>
  <si>
    <t>2026-07-09 04:50:00+0000</t>
  </si>
  <si>
    <t>Strength/Gym (indoor) (49 min)</t>
  </si>
  <si>
    <t>2026-07-09 23:19:00+0000</t>
  </si>
  <si>
    <t>2026-07-10 05:16:00+0000</t>
  </si>
  <si>
    <t>2026-07-11 00:26:00+0000</t>
  </si>
  <si>
    <t>2026-07-11 07:47:00+0000</t>
  </si>
  <si>
    <t>2026-07-12 04:11:00+0000</t>
  </si>
  <si>
    <t>2026-07-12 13:21:00+0000</t>
  </si>
  <si>
    <t>2026-07-12 23:33:00+0000</t>
  </si>
  <si>
    <t>2026-07-13 07:57:00+0000</t>
  </si>
  <si>
    <t>Strength/Gym (indoor) (68 min)</t>
  </si>
  <si>
    <t>2026-07-13 23:24:00+0000</t>
  </si>
  <si>
    <t>2026-07-14 08:25:00+0000</t>
  </si>
  <si>
    <t>2026-07-15 00:39:00+0000</t>
  </si>
  <si>
    <t>2026-07-15 08:25:00+0000</t>
  </si>
  <si>
    <t>Strength/Gym (indoor) (71 min)</t>
  </si>
  <si>
    <t>2026-07-15 23:21:00+0000</t>
  </si>
  <si>
    <t>2026-07-16 07:41:00+0000</t>
  </si>
  <si>
    <t>Running (outdoor) (11 min); Indoor workout (48 min)</t>
  </si>
  <si>
    <t>2026-07-16 20:58:00+0000</t>
  </si>
  <si>
    <t>2026-07-17 00:57:00+0000</t>
  </si>
  <si>
    <t>Indoor cardio/HIIT (94 min)</t>
  </si>
  <si>
    <t>2026-07-17 23:24:00+0000</t>
  </si>
  <si>
    <t>2026-07-18 05:56:00+0000</t>
  </si>
  <si>
    <t>Indoor workout (32 min)</t>
  </si>
  <si>
    <t>2026-07-18 23:27:00+0000</t>
  </si>
  <si>
    <t>2026-07-19 08:12:00+0000</t>
  </si>
  <si>
    <t>2026-07-20 08:33:00+0000</t>
  </si>
  <si>
    <t>2026-07-20 11:30:00+0000</t>
  </si>
  <si>
    <t>Strength/Gym (indoor) (64 min)</t>
  </si>
  <si>
    <t>2026-07-20 17:52:00+0000</t>
  </si>
  <si>
    <t>2026-07-21 01:30:00+0000</t>
  </si>
  <si>
    <t>Strength/Gym (indoor) (54 min); Indoor cardio/HIIT (63 min)</t>
  </si>
  <si>
    <t>2026-07-21 18:08:00+0000</t>
  </si>
  <si>
    <t>2026-07-22 01:26:00+0000</t>
  </si>
  <si>
    <t>2026-07-22 18:48:00+0000</t>
  </si>
  <si>
    <t>2026-07-23 00:46:00+0000</t>
  </si>
  <si>
    <t>2026-07-23 19:10:00+0000</t>
  </si>
  <si>
    <t>2026-07-24 00:48:00+0000</t>
  </si>
  <si>
    <t>Indoor cardio/HIIT (51 min); Indoor cardio/HIIT (48 min)</t>
  </si>
  <si>
    <t>2026-07-24 20:43:00+0000</t>
  </si>
  <si>
    <t>2026-07-25 03:42:00+0000</t>
  </si>
  <si>
    <t>2026-07-25 21:33:00+0000</t>
  </si>
  <si>
    <t>2026-07-26 06:28:00+0000</t>
  </si>
  <si>
    <t>Strength/Gym (indoor) (56 min)</t>
  </si>
  <si>
    <t>2026-07-26 18:25:00+0000</t>
  </si>
  <si>
    <t>2026-07-27 00:53:00+0000</t>
  </si>
  <si>
    <t>2026-07-27 19:42:00+0000</t>
  </si>
  <si>
    <t>2026-07-28 02:32:00+0000</t>
  </si>
  <si>
    <t>Running (outdoor) (21 min); Strength/Gym (indoor) (57 min); Indoor cardio/HIIT (114 min)</t>
  </si>
  <si>
    <t>2026-07-28 19:46:00+0000</t>
  </si>
  <si>
    <t>2026-07-28 22:45:00+0000</t>
  </si>
  <si>
    <t>Strength/Gym (indoor) (18 min); Walk/Jog (outdoor) (27 min)</t>
  </si>
  <si>
    <t>2026-07-29 18:58:00+0000</t>
  </si>
  <si>
    <t>2026-07-30 01:22:00+0000</t>
  </si>
  <si>
    <t>Strength/Gym (indoor) (68 min); Indoor cardio/HIIT (55 min)</t>
  </si>
  <si>
    <t>2026-07-30 21:33:00+0000</t>
  </si>
  <si>
    <t>2026-07-31 00:59:00+0000</t>
  </si>
  <si>
    <t>2026-07-31 23:10:00+0000</t>
  </si>
  <si>
    <t>2026-08-01 03:02:00+0000</t>
  </si>
  <si>
    <t>2026-08-01 19:57:00+0000</t>
  </si>
  <si>
    <t>2026-08-02 01:05:00+0000</t>
  </si>
  <si>
    <t>2026-08-02 20:39:00+0000</t>
  </si>
  <si>
    <t>2026-08-03 02:13:00+0000</t>
  </si>
  <si>
    <t>2026-08-04 06:08:00+0000</t>
  </si>
  <si>
    <t>2026-08-04 09:07:00+0000</t>
  </si>
  <si>
    <t>2026-08-04 17:12:00+0000</t>
  </si>
  <si>
    <t>2026-08-05 03:25:00+0000</t>
  </si>
  <si>
    <t>Strength/Gym (indoor) (41 min)</t>
  </si>
  <si>
    <t>2026-08-05 18:51:00+0000</t>
  </si>
  <si>
    <t>2026-08-06 00:35:00+0000</t>
  </si>
  <si>
    <t>Indoor cardio/HIIT (51 min)</t>
  </si>
  <si>
    <t>2026-08-06 18:18:00+0000</t>
  </si>
  <si>
    <t>2026-08-07 01:14:00+0000</t>
  </si>
  <si>
    <t>Running (outdoor) (50 min); Indoor cardio/HIIT (103 min)</t>
  </si>
  <si>
    <t>2026-08-07 19:05:00+0000</t>
  </si>
  <si>
    <t>2026-08-07 23:49:00+0000</t>
  </si>
  <si>
    <t>Cycling (outdoor) (76 min); Indoor workout (high intensity) (13 min); Indoor workout (high intensity) (10 min)</t>
  </si>
  <si>
    <t>2026-08-08 20:36:00+0000</t>
  </si>
  <si>
    <t>2026-08-09 02:56:00+0000</t>
  </si>
  <si>
    <t>Strength/Gym (indoor) (42 min)</t>
  </si>
  <si>
    <t>2026-08-09 20:31:00+0000</t>
  </si>
  <si>
    <t>2026-08-10 01:33:00+0000</t>
  </si>
  <si>
    <t>2026-08-10 19:38:00+0000</t>
  </si>
  <si>
    <t>2026-08-11 01:47:00+0000</t>
  </si>
  <si>
    <t>Walk/Jog (outdoor) (51 min); Indoor cardio/HIIT (50 min)</t>
  </si>
  <si>
    <t>2026-08-11 20:15:00+0000</t>
  </si>
  <si>
    <t>2026-08-12 02:20:00+0000</t>
  </si>
  <si>
    <t>Strength/Gym (indoor) (62 min)</t>
  </si>
  <si>
    <t>2026-08-12 18:40:00+0000</t>
  </si>
  <si>
    <t>2026-08-13 01:34:00+0000</t>
  </si>
  <si>
    <t>Strength/Gym (indoor) (76 min); Indoor cardio/HIIT (71 min)</t>
  </si>
  <si>
    <t>2026-08-13 19:28:00+0000</t>
  </si>
  <si>
    <t>2026-08-14 01:31:00+0000</t>
  </si>
  <si>
    <t>2026-08-14 18:27:00+0000</t>
  </si>
  <si>
    <t>2026-08-15 04:38:00+0000</t>
  </si>
  <si>
    <t>2026-08-15 22:31:00+0000</t>
  </si>
  <si>
    <t>2026-08-16 04:34:00+0000</t>
  </si>
  <si>
    <t>Indoor workout (52 min); Strength/Gym (indoor) (51 min)</t>
  </si>
  <si>
    <t>2026-08-16 19:14:00+0000</t>
  </si>
  <si>
    <t>2026-08-17 01:54:00+0000</t>
  </si>
  <si>
    <t>2026-08-17 20:10:00+0000</t>
  </si>
  <si>
    <t>2026-08-18 01:27:00+0000</t>
  </si>
  <si>
    <t>Walk/Jog (outdoor) (32 min); Indoor high-intensity (191) (54 min)</t>
  </si>
  <si>
    <t>2026-08-18 18:58:00+0000</t>
  </si>
  <si>
    <t>2026-08-19 01:51:00+0000</t>
  </si>
  <si>
    <t>Indoor high-intensity (191) (103 min)</t>
  </si>
  <si>
    <t>2026-08-19 17:59:00+0000</t>
  </si>
  <si>
    <t>2026-08-20 01:01:00+0000</t>
  </si>
  <si>
    <t>Indoor high-intensity (191) (78 min)</t>
  </si>
  <si>
    <t>2026-08-20 20:03:00+0000</t>
  </si>
  <si>
    <t>2026-08-21 01:19:00+0000</t>
  </si>
  <si>
    <t>Indoor workout (high intensity) (29 min)</t>
  </si>
  <si>
    <t>2026-08-21 20:49:00+0000</t>
  </si>
  <si>
    <t>2026-08-22 03:19:00+0000</t>
  </si>
  <si>
    <t>Running (outdoor) (12 min); Walk/Jog (outdoor) (27 min)</t>
  </si>
  <si>
    <t>2026-08-22 19:18:00+0000</t>
  </si>
  <si>
    <t>2026-08-23 04:18:00+0000</t>
  </si>
  <si>
    <t>2026-08-23 21:13:00+0000</t>
  </si>
  <si>
    <t>2026-08-24 02:46:00+0000</t>
  </si>
  <si>
    <t>Running (outdoor) (65 min); Strength/Gym (indoor) (50 min)</t>
  </si>
  <si>
    <t>2026-08-24 17:51:00+0000</t>
  </si>
  <si>
    <t>2026-08-24 23:39:00+0000</t>
  </si>
  <si>
    <t>Indoor high-intensity (191) (55 min)</t>
  </si>
  <si>
    <t>2026-08-25 20:42:00+0000</t>
  </si>
  <si>
    <t>2026-08-26 04:51:00+0000</t>
  </si>
  <si>
    <t>Strength/Gym (indoor) (69 min); Indoor cardio/HIIT (42 min)</t>
  </si>
  <si>
    <t>2026-08-26 19:43:00+0000</t>
  </si>
  <si>
    <t>2026-08-27 01:24:00+0000</t>
  </si>
  <si>
    <t>2026-08-27 21:15:00+0000</t>
  </si>
  <si>
    <t>2026-08-28 05:38:00+0000</t>
  </si>
  <si>
    <t>2026-08-28 21:05:00+0000</t>
  </si>
  <si>
    <t>2026-08-29 05:23:00+0000</t>
  </si>
  <si>
    <t>Running (outdoor) (20 min); Strength/Gym (indoor) (57 min); Indoor high-intensity (191) (51 min)</t>
  </si>
  <si>
    <t>2026-08-29 18:52:00+0000</t>
  </si>
  <si>
    <t>2026-08-30 01:08:00+0000</t>
  </si>
  <si>
    <t>2026-08-30 19:53:00+0000</t>
  </si>
  <si>
    <t>2026-08-31 02:09:00+0000</t>
  </si>
  <si>
    <t>2026-08-31 21:28:00+0000</t>
  </si>
  <si>
    <t>2026-09-01 01:53:00+0000</t>
  </si>
  <si>
    <t>Indoor high-intensity (191) (54 min)</t>
  </si>
  <si>
    <t>2026-09-01 20:44:00+0000</t>
  </si>
  <si>
    <t>2026-09-02 01:54:00+0000</t>
  </si>
  <si>
    <t>Strength/Gym (indoor) (51 min); Indoor cardio/HIIT (46 min)</t>
  </si>
  <si>
    <t>2026-09-02 19:28:00+0000</t>
  </si>
  <si>
    <t>2026-09-03 00:18:00+0000</t>
  </si>
  <si>
    <t>2026-09-03 21:26:00+0000</t>
  </si>
  <si>
    <t>2026-09-04 07:25:00+0000</t>
  </si>
  <si>
    <t>Indoor workout (66 min); Indoor high-intensity (191) (63 min)</t>
  </si>
  <si>
    <t>2026-09-04 21:35:00+0000</t>
  </si>
  <si>
    <t>2026-09-05 03:55:00+0000</t>
  </si>
  <si>
    <t>Running (outdoor) (42 min)</t>
  </si>
  <si>
    <t>2026-09-05 19:09:00+0000</t>
  </si>
  <si>
    <t>2026-09-06 00:02:00+0000</t>
  </si>
  <si>
    <t>2026-09-06 20:21:00+0000</t>
  </si>
  <si>
    <t>2026-09-07 01:27:00+0000</t>
  </si>
  <si>
    <t>Running (outdoor) (53 min); Strength/Gym (indoor) (67 min)</t>
  </si>
  <si>
    <t>2026-09-07 17:27:00+0000</t>
  </si>
  <si>
    <t>2026-09-07 23:30:00+0000</t>
  </si>
  <si>
    <t>Strength/Gym (indoor) (43 min)</t>
  </si>
  <si>
    <t>2026-09-08 21:29:00+0000</t>
  </si>
  <si>
    <t>2026-09-09 01:31:00+0000</t>
  </si>
  <si>
    <t>Indoor cardio/HIIT (37 min); Indoor workout (51 min); Indoor high-intensity (191) (59 min)</t>
  </si>
  <si>
    <t>2026-09-09 21:17:00+0000</t>
  </si>
  <si>
    <t>2026-09-10 05:15:00+0000</t>
  </si>
  <si>
    <t>2026-09-10 21:17:00+0000</t>
  </si>
  <si>
    <t>2026-09-11 01:28:00+0000</t>
  </si>
  <si>
    <t>Indoor workout (high intensity) (95 min); Strength/Gym (indoor) (50 min)</t>
  </si>
  <si>
    <t>2026-09-11 19:46:00+0000</t>
  </si>
  <si>
    <t>2026-09-11 23:50:00+0000</t>
  </si>
  <si>
    <t>Indoor cardio/HIIT (107 min)</t>
  </si>
  <si>
    <t>2026-09-12 21:09:00+0000</t>
  </si>
  <si>
    <t>2026-09-13 01:16:00+0000</t>
  </si>
  <si>
    <t>2026-09-13 22:13:00+0000</t>
  </si>
  <si>
    <t>2026-09-14 05:24:00+0000</t>
  </si>
  <si>
    <t>2026-09-14 21:40:00+0000</t>
  </si>
  <si>
    <t>2026-09-15 04:26:00+0000</t>
  </si>
  <si>
    <t>2026-09-15 19:59:00+0000</t>
  </si>
  <si>
    <t>2026-09-16 02:45:00+0000</t>
  </si>
  <si>
    <t>Strength/Gym (indoor) (34 min)</t>
  </si>
  <si>
    <t>2026-09-16 19:36:00+0000</t>
  </si>
  <si>
    <t>2026-09-17 01:27:00+0000</t>
  </si>
  <si>
    <t>Strength/Gym (indoor) (35 min); Indoor cardio/HIIT (40 min)</t>
  </si>
  <si>
    <t>2026-09-17 21:14:00+0000</t>
  </si>
  <si>
    <t>2026-09-18 04:20:00+0000</t>
  </si>
  <si>
    <t>2026-09-18 20:05:00+0000</t>
  </si>
  <si>
    <t>2026-09-19 06:24:00+0000</t>
  </si>
  <si>
    <t>Indoor workout (high intensity) (88 min)</t>
  </si>
  <si>
    <t>2026-09-19 21:51:00+0000</t>
  </si>
  <si>
    <t>2026-09-20 07:18:00+0000</t>
  </si>
  <si>
    <t>Running (outdoor) (21 min); Strength/Gym (indoor) (47 min)</t>
  </si>
  <si>
    <t>2026-09-20 19:29:00+0000</t>
  </si>
  <si>
    <t>2026-09-21 00:24:00+0000</t>
  </si>
  <si>
    <t>2026-09-21 20:02:00+0000</t>
  </si>
  <si>
    <t>2026-09-22 02:00:00+0000</t>
  </si>
  <si>
    <t>Strength/Gym (indoor) (58 min)</t>
  </si>
  <si>
    <t>2026-09-22 20:08:00+0000</t>
  </si>
  <si>
    <t>2026-09-23 01:21:00+0000</t>
  </si>
  <si>
    <t>Running (outdoor) (20 min); Indoor high-intensity (191) (58 min)</t>
  </si>
  <si>
    <t>2026-09-23 17:33:00+0000</t>
  </si>
  <si>
    <t>2026-09-23 23:41:00+0000</t>
  </si>
  <si>
    <t>Strength/Gym (indoor) (50 min)</t>
  </si>
  <si>
    <t>2026-09-24 20:17:00+0000</t>
  </si>
  <si>
    <t>2026-09-25 04:09:00+0000</t>
  </si>
  <si>
    <t>2026-09-25 20:28:00+0000</t>
  </si>
  <si>
    <t>2026-09-26 02:27:00+0000</t>
  </si>
  <si>
    <t>Running (outdoor) (116 min)</t>
  </si>
  <si>
    <t>2026-09-26 19:01:00+0000</t>
  </si>
  <si>
    <t>2026-09-27 00:16:00+0000</t>
  </si>
  <si>
    <t>Indoor workout (high intensity) (107 min)</t>
  </si>
  <si>
    <t>2026-09-27 20:22:00+0000</t>
  </si>
  <si>
    <t>2026-09-28 01:01:00+0000</t>
  </si>
  <si>
    <t>Date (UTC)</t>
  </si>
  <si>
    <t>Type Code</t>
  </si>
  <si>
    <t>Inferred Activity</t>
  </si>
  <si>
    <t>Start Time (UTC)</t>
  </si>
  <si>
    <t>Duration (min)</t>
  </si>
  <si>
    <t>Avg Pace raw (s/m)</t>
  </si>
  <si>
    <t>Pace (min/km)</t>
  </si>
  <si>
    <t>Calories (kcal)</t>
  </si>
  <si>
    <t>kcal / min</t>
  </si>
  <si>
    <t>Strength/Gym (indoor)</t>
  </si>
  <si>
    <t>2026-05-13 10:11:05+0000</t>
  </si>
  <si>
    <t>Indoor cardio/HIIT</t>
  </si>
  <si>
    <t>2026-05-13 11:47:12+0000</t>
  </si>
  <si>
    <t>2026-05-14 13:19:39+0000</t>
  </si>
  <si>
    <t>2026-05-15 14:59:55+0000</t>
  </si>
  <si>
    <t>2026-05-18 09:55:04+0000</t>
  </si>
  <si>
    <t>Running (outdoor)</t>
  </si>
  <si>
    <t>2026-05-18 14:41:07+0000</t>
  </si>
  <si>
    <t>Walk/Jog (outdoor)</t>
  </si>
  <si>
    <t>2026-05-19 13:17:30+0000</t>
  </si>
  <si>
    <t>2026-05-19 14:17:35+0000</t>
  </si>
  <si>
    <t>Indoor workout</t>
  </si>
  <si>
    <t>2026-05-20 11:45:20+0000</t>
  </si>
  <si>
    <t>2026-05-21 08:01:51+0000</t>
  </si>
  <si>
    <t>2026-05-21 15:32:05+0000</t>
  </si>
  <si>
    <t>2026-05-22 14:59:49+0000</t>
  </si>
  <si>
    <t>Indoor workout (high intensity)</t>
  </si>
  <si>
    <t>2026-05-23 11:26:33+0000</t>
  </si>
  <si>
    <t>2026-05-24 01:57:23+0000</t>
  </si>
  <si>
    <t>2026-05-24 03:56:15+0000</t>
  </si>
  <si>
    <t>2026-05-24 12:25:16+0000</t>
  </si>
  <si>
    <t>2026-05-25 14:00:08+0000</t>
  </si>
  <si>
    <t>2026-05-26 03:24:38+0000</t>
  </si>
  <si>
    <t>2026-05-27 11:44:16+0000</t>
  </si>
  <si>
    <t>2026-05-27 14:48:27+0000</t>
  </si>
  <si>
    <t>2026-05-29 00:15:10+0000</t>
  </si>
  <si>
    <t>2026-05-29 13:28:22+0000</t>
  </si>
  <si>
    <t>2026-05-29 17:27:39+0000</t>
  </si>
  <si>
    <t>2026-05-30 01:30:07+0000</t>
  </si>
  <si>
    <t>2026-05-31 02:55:59+0000</t>
  </si>
  <si>
    <t>2026-05-31 10:12:57+0000</t>
  </si>
  <si>
    <t>2026-05-31 11:43:52+0000</t>
  </si>
  <si>
    <t>2026-06-04 12:22:24+0000</t>
  </si>
  <si>
    <t>2026-06-04 12:51:42+0000</t>
  </si>
  <si>
    <t>2026-06-08 15:18:04+0000</t>
  </si>
  <si>
    <t>2026-06-09 15:22:52+0000</t>
  </si>
  <si>
    <t>2026-06-10 13:32:50+0000</t>
  </si>
  <si>
    <t>2026-06-11 14:38:27+0000</t>
  </si>
  <si>
    <t>2026-06-12 14:17:32+0000</t>
  </si>
  <si>
    <t>2026-06-13 08:03:49+0000</t>
  </si>
  <si>
    <t>2026-06-14 07:28:01+0000</t>
  </si>
  <si>
    <t>2026-06-14 16:37:30+0000</t>
  </si>
  <si>
    <t>2026-06-15 15:31:44+0000</t>
  </si>
  <si>
    <t>2026-06-17 00:19:43+0000</t>
  </si>
  <si>
    <t>2026-06-18 12:42:22+0000</t>
  </si>
  <si>
    <t>2026-06-19 13:52:43+0000</t>
  </si>
  <si>
    <t>2026-06-20 10:32:27+0000</t>
  </si>
  <si>
    <t>2026-06-21 17:42:12+0000</t>
  </si>
  <si>
    <t>2026-06-22 14:10:27+0000</t>
  </si>
  <si>
    <t>2026-06-24 14:13:07+0000</t>
  </si>
  <si>
    <t>2026-06-25 05:22:52+0000</t>
  </si>
  <si>
    <t>2026-06-25 12:46:55+0000</t>
  </si>
  <si>
    <t>2026-06-26 15:21:42+0000</t>
  </si>
  <si>
    <t>2026-06-27 11:45:59+0000</t>
  </si>
  <si>
    <t>2026-06-28 02:43:59+0000</t>
  </si>
  <si>
    <t>2026-06-28 12:16:14+0000</t>
  </si>
  <si>
    <t>2026-06-30 14:14:50+0000</t>
  </si>
  <si>
    <t>2026-07-01 01:08:02+0000</t>
  </si>
  <si>
    <t>2026-07-02 11:21:46+0000</t>
  </si>
  <si>
    <t>2026-07-05 00:03:51+0000</t>
  </si>
  <si>
    <t>2026-07-06 12:18:45+0000</t>
  </si>
  <si>
    <t>2026-07-08 14:03:22+0000</t>
  </si>
  <si>
    <t>2026-07-10 14:05:02+0000</t>
  </si>
  <si>
    <t>2026-07-11 13:08:13+0000</t>
  </si>
  <si>
    <t>2026-07-13 11:15:48+0000</t>
  </si>
  <si>
    <t>2026-07-14 14:17:57+0000</t>
  </si>
  <si>
    <t>2026-07-16 15:23:49+0000</t>
  </si>
  <si>
    <t>2026-07-17 02:21:35+0000</t>
  </si>
  <si>
    <t>2026-07-17 12:13:41+0000</t>
  </si>
  <si>
    <t>2026-07-18 12:05:57+0000</t>
  </si>
  <si>
    <t>2026-07-19 22:48:38+0000</t>
  </si>
  <si>
    <t>2026-07-21 13:50:30+0000</t>
  </si>
  <si>
    <t>2026-07-22 12:23:59+0000</t>
  </si>
  <si>
    <t>2026-07-22 13:31:58+0000</t>
  </si>
  <si>
    <t>2026-07-25 12:41:53+0000</t>
  </si>
  <si>
    <t>2026-07-25 13:53:19+0000</t>
  </si>
  <si>
    <t>2026-07-27 13:27:55+0000</t>
  </si>
  <si>
    <t>2026-07-29 00:39:52+0000</t>
  </si>
  <si>
    <t>2026-07-29 10:13:47+0000</t>
  </si>
  <si>
    <t>2026-07-29 13:39:37+0000</t>
  </si>
  <si>
    <t>2026-07-30 14:18:52+0000</t>
  </si>
  <si>
    <t>2026-07-30 14:37:56+0000</t>
  </si>
  <si>
    <t>2026-07-31 12:07:24+0000</t>
  </si>
  <si>
    <t>2026-07-31 13:36:47+0000</t>
  </si>
  <si>
    <t>2026-08-06 14:27:58+0000</t>
  </si>
  <si>
    <t>2026-08-07 13:41:23+0000</t>
  </si>
  <si>
    <t>2026-08-08 01:27:13+0000</t>
  </si>
  <si>
    <t>2026-08-08 12:52:20+0000</t>
  </si>
  <si>
    <t>Cycling (outdoor)</t>
  </si>
  <si>
    <t>2026-08-09 03:43:40+0000</t>
  </si>
  <si>
    <t>2026-08-09 13:37:12+0000</t>
  </si>
  <si>
    <t>2026-08-09 16:01:35+0000</t>
  </si>
  <si>
    <t>2026-08-10 11:54:14+0000</t>
  </si>
  <si>
    <t>2026-08-11 14:18:58+0000</t>
  </si>
  <si>
    <t>2026-08-12 12:19:52+0000</t>
  </si>
  <si>
    <t>2026-08-12 13:42:26+0000</t>
  </si>
  <si>
    <t>2026-08-13 14:14:40+0000</t>
  </si>
  <si>
    <t>2026-08-14 07:46:25+0000</t>
  </si>
  <si>
    <t>2026-08-14 11:36:02+0000</t>
  </si>
  <si>
    <t>2026-08-17 11:39:44+0000</t>
  </si>
  <si>
    <t>2026-08-17 14:45:43+0000</t>
  </si>
  <si>
    <t>2026-08-19 12:21:20+0000</t>
  </si>
  <si>
    <t>Indoor high-intensity (191)</t>
  </si>
  <si>
    <t>2026-08-19 13:37:44+0000</t>
  </si>
  <si>
    <t>2026-08-20 13:44:27+0000</t>
  </si>
  <si>
    <t>2026-08-21 12:40:47+0000</t>
  </si>
  <si>
    <t>2026-08-22 09:05:21+0000</t>
  </si>
  <si>
    <t>2026-08-23 07:22:12+0000</t>
  </si>
  <si>
    <t>2026-08-23 08:04:43+0000</t>
  </si>
  <si>
    <t>2026-08-24 15:30:36+0000</t>
  </si>
  <si>
    <t>2026-08-25 00:53:26+0000</t>
  </si>
  <si>
    <t>2026-08-25 15:57:35+0000</t>
  </si>
  <si>
    <t>2026-08-26 13:37:49+0000</t>
  </si>
  <si>
    <t>2026-08-27 14:06:53+0000</t>
  </si>
  <si>
    <t>2026-08-27 15:16:47+0000</t>
  </si>
  <si>
    <t>2026-08-30 02:09:05+0000</t>
  </si>
  <si>
    <t>2026-08-30 04:36:10+0000</t>
  </si>
  <si>
    <t>2026-08-30 13:40:53+0000</t>
  </si>
  <si>
    <t>2026-09-02 13:38:21+0000</t>
  </si>
  <si>
    <t>2026-09-03 15:22:40+0000</t>
  </si>
  <si>
    <t>2026-09-03 16:18:30+0000</t>
  </si>
  <si>
    <t>2026-09-04 11:20:57+0000</t>
  </si>
  <si>
    <t>2026-09-05 05:00:31+0000</t>
  </si>
  <si>
    <t>2026-09-05 14:35:33+0000</t>
  </si>
  <si>
    <t>2026-09-06 01:39:28+0000</t>
  </si>
  <si>
    <t>2026-09-08 01:03:24+0000</t>
  </si>
  <si>
    <t>2026-09-08 13:54:40+0000</t>
  </si>
  <si>
    <t>2026-09-09 15:37:06+0000</t>
  </si>
  <si>
    <t>2026-09-10 09:58:21+0000</t>
  </si>
  <si>
    <t>2026-09-10 10:43:00+0000</t>
  </si>
  <si>
    <t>2026-09-10 13:39:43+0000</t>
  </si>
  <si>
    <t>2026-09-12 03:47:00+0000</t>
  </si>
  <si>
    <t>2026-09-12 13:26:34+0000</t>
  </si>
  <si>
    <t>2026-09-13 02:52:19+0000</t>
  </si>
  <si>
    <t>2026-09-17 12:47:34+0000</t>
  </si>
  <si>
    <t>2026-09-18 13:12:38+0000</t>
  </si>
  <si>
    <t>2026-09-18 14:04:53+0000</t>
  </si>
  <si>
    <t>2026-09-20 13:56:27+0000</t>
  </si>
  <si>
    <t>2026-09-21 02:49:14+0000</t>
  </si>
  <si>
    <t>2026-09-21 16:03:04+0000</t>
  </si>
  <si>
    <t>2026-09-23 12:53:30+0000</t>
  </si>
  <si>
    <t>2026-09-24 01:05:50+0000</t>
  </si>
  <si>
    <t>2026-09-24 14:33:15+0000</t>
  </si>
  <si>
    <t>2026-09-25 05:10:15+0000</t>
  </si>
  <si>
    <t>2026-09-27 02:26:21+0000</t>
  </si>
  <si>
    <t>2026-09-28 13:57:27+0000</t>
  </si>
  <si>
    <t>Metric</t>
  </si>
  <si>
    <t>P1: 12 May – 20 Jul</t>
  </si>
  <si>
    <t>P2: 21 Jul – 28 Sep</t>
  </si>
  <si>
    <t>Change</t>
  </si>
  <si>
    <t>% Change</t>
  </si>
  <si>
    <t>Days</t>
  </si>
  <si>
    <t>Avg steps / day</t>
  </si>
  <si>
    <t>Avg distance / day (km)</t>
  </si>
  <si>
    <t>Avg active minutes / day</t>
  </si>
  <si>
    <t>Avg activity calories / day</t>
  </si>
  <si>
    <t>Avg resting HR (bpm)</t>
  </si>
  <si>
    <t>Avg daily HR (bpm)</t>
  </si>
  <si>
    <t>Workout days</t>
  </si>
  <si>
    <t>Workout sessions</t>
  </si>
  <si>
    <t>Avg workout minutes / day</t>
  </si>
  <si>
    <t>Avg workout calories / day</t>
  </si>
  <si>
    <t>Avg sleep (hours)</t>
  </si>
  <si>
    <t>Nights under 6 h</t>
  </si>
  <si>
    <t>Avg deep sleep (min)</t>
  </si>
  <si>
    <t>Avg REM sleep (min)</t>
  </si>
  <si>
    <t>Deep sleep % of total</t>
  </si>
  <si>
    <t>Runs logged</t>
  </si>
  <si>
    <t>Total run distance (km)</t>
  </si>
  <si>
    <t>Avg run pace (min/km)</t>
  </si>
  <si>
    <t>Lower is better for resting HR and run pace (min/km). All values are formulas over the Daily Summary and Workout Sessions tabs.</t>
  </si>
  <si>
    <t>Avg Steps</t>
  </si>
  <si>
    <t>Avg Resting HR</t>
  </si>
  <si>
    <t>Avg Sleep (h)</t>
  </si>
  <si>
    <t>Workout Sessions</t>
  </si>
  <si>
    <t>Avg Workout kcal / day</t>
  </si>
  <si>
    <t>Weeks with fewer than 4 days of data are left out so partial weeks don't distort the trend.</t>
  </si>
  <si>
    <t>Data sources &amp; assumptions</t>
  </si>
  <si>
    <t>Covers 2026-05-12 to 2026-09-28 (140 days), merged from every 'Health Data*' export folder in this repo (currently two exports). P1 = 2026-05-12 to 2026-07-20, P2 = 2026-07-21 to 2026-09-28.</t>
  </si>
  <si>
    <t>Overlapping days between exports are de-duplicated (2026-07-20 appears in both and was identical); where rows differ, the newer export wins.</t>
  </si>
  <si>
    <t>Resting HR = lowest HEARTRATE_AUTO reading of the calendar day (no dedicated resting-HR field exists). Avg/Max HR use the same readings.</t>
  </si>
  <si>
    <t>HRV is not recorded anywhere in either export, so it is N/A throughout.</t>
  </si>
  <si>
    <t>Active Minutes = total duration of ACTIVITY_STAGE movement segments for that date.</t>
  </si>
  <si>
    <t>Activity Calories = the device's daily ACTIVITY 'calories' field. Workout Calories = sum of that day's SPORT sessions. The two overlap (the daily figure already includes workout movement), so do not add them together.</t>
  </si>
  <si>
    <t>Workouts are grouped by the UTC date of their start time; the SPORT file has no local-date field.</t>
  </si>
  <si>
    <t>Workout names are inferred from Zepp's numeric type codes by distance, pace and intensity. The export has no names. Code 191 (new in P2, 9 sessions from 2026-08-19, indoor, ~11 kcal/min) and code 9 (one 21 km session at ~16.6 km/h, most likely cycling) were added in P2.</t>
  </si>
  <si>
    <t>Run pace (min/km) comes from the SPORT avgPace field (seconds per metre × 1000 / 60). It is left blank for sessions under 500 m, which are GPS dropouts (2026-06-25 run: 59 min for 58 m; 2026-08-19 walk: 32 min for 152 m).</t>
  </si>
  <si>
    <t>Sleep fields come straight from SLEEP; Total Sleep = Deep + Light + REM. Sleep Start/End are UTC. The sleep date is the wake-up date.</t>
  </si>
  <si>
    <t>Naps: every nap timestamp in both exports is a placeholder (2024-10-04), so only the count is shown.</t>
  </si>
  <si>
    <t>Body weight readings on record: 2026-05-24: 63.0 kg; 2026-07-28: 65.0 kg. The 65 kg entry may be a profile update rather than a scale reading, so treat it with care as a trend point.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</si>
</sst>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"/>
    <numFmt numFmtId="166" formatCode="\+#,##0.0;\-#,##0.0;0"/>
    <numFmt numFmtId="167" formatCode="\+0.0%;\-0.0%;0.0%"/>
    <numFmt numFmtId="168" formatCode="\+#,##0;\-#,##0;0"/>
    <numFmt numFmtId="169" formatCode="0.0%"/>
  </numFmts>
  <fonts count="6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i/>
      <sz val="10"/>
      <color rgb="FF999999"/>
      <name val="Arial"/>
      <family val="2"/>
    </font>
    <font>
      <b/>
      <sz val="1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E4DFE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3" fillId="5" borderId="1" xfId="0" applyFont="1" applyFill="1" applyBorder="1"/>
    <xf numFmtId="0" fontId="3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0" borderId="1" xfId="0" applyFont="1" applyBorder="1"/>
    <xf numFmtId="2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2" fillId="0" borderId="1" xfId="0" applyFont="1" applyBorder="1"/>
    <xf numFmtId="1" fontId="3" fillId="0" borderId="1" xfId="0" applyNumberFormat="1" applyFont="1" applyBorder="1" applyAlignment="1">
      <alignment horizontal="center"/>
    </xf>
    <xf numFmtId="166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168" fontId="3" fillId="0" borderId="1" xfId="0" applyNumberFormat="1" applyFont="1" applyBorder="1" applyAlignment="1">
      <alignment horizontal="center"/>
    </xf>
    <xf numFmtId="169" fontId="3" fillId="0" borderId="1" xfId="0" applyNumberFormat="1" applyFont="1" applyBorder="1" applyAlignment="1">
      <alignment horizontal="center"/>
    </xf>
    <xf numFmtId="0" fontId="4" fillId="0" borderId="0" xfId="0" applyFont="1"/>
    <xf numFmtId="0" fontId="5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t>Avg daily steps by week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'Weekly Trends'!$C$1</c:f>
              <c:strCache>
                <c:ptCount val="1"/>
                <c:pt idx="0">
                  <c:v>Avg Steps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'Weekly Trends'!$A$2:$A$21</c:f>
              <c:numCache>
                <c:formatCode>yyyy\-mm\-dd</c:formatCode>
                <c:ptCount val="20"/>
                <c:pt idx="0">
                  <c:v>46153</c:v>
                </c:pt>
                <c:pt idx="1">
                  <c:v>46160</c:v>
                </c:pt>
                <c:pt idx="2">
                  <c:v>46167</c:v>
                </c:pt>
                <c:pt idx="3">
                  <c:v>46174</c:v>
                </c:pt>
                <c:pt idx="4">
                  <c:v>46181</c:v>
                </c:pt>
                <c:pt idx="5">
                  <c:v>46188</c:v>
                </c:pt>
                <c:pt idx="6">
                  <c:v>46195</c:v>
                </c:pt>
                <c:pt idx="7">
                  <c:v>46202</c:v>
                </c:pt>
                <c:pt idx="8">
                  <c:v>46209</c:v>
                </c:pt>
                <c:pt idx="9">
                  <c:v>46216</c:v>
                </c:pt>
                <c:pt idx="10">
                  <c:v>46223</c:v>
                </c:pt>
                <c:pt idx="11">
                  <c:v>46230</c:v>
                </c:pt>
                <c:pt idx="12">
                  <c:v>46237</c:v>
                </c:pt>
                <c:pt idx="13">
                  <c:v>46244</c:v>
                </c:pt>
                <c:pt idx="14">
                  <c:v>46251</c:v>
                </c:pt>
                <c:pt idx="15">
                  <c:v>46258</c:v>
                </c:pt>
                <c:pt idx="16">
                  <c:v>46265</c:v>
                </c:pt>
                <c:pt idx="17">
                  <c:v>46272</c:v>
                </c:pt>
                <c:pt idx="18">
                  <c:v>46279</c:v>
                </c:pt>
                <c:pt idx="19">
                  <c:v>46286</c:v>
                </c:pt>
              </c:numCache>
            </c:numRef>
          </c:cat>
          <c:val>
            <c:numRef>
              <c:f>'Weekly Trends'!$C$2:$C$21</c:f>
              <c:numCache>
                <c:formatCode>#,##0</c:formatCode>
                <c:ptCount val="20"/>
                <c:pt idx="0">
                  <c:v>6153.833333333333</c:v>
                </c:pt>
                <c:pt idx="1">
                  <c:v>8889.1428571428569</c:v>
                </c:pt>
                <c:pt idx="2">
                  <c:v>10005.142857142857</c:v>
                </c:pt>
                <c:pt idx="3">
                  <c:v>7222.7142857142853</c:v>
                </c:pt>
                <c:pt idx="4">
                  <c:v>8492.5714285714294</c:v>
                </c:pt>
                <c:pt idx="5">
                  <c:v>8768.7142857142862</c:v>
                </c:pt>
                <c:pt idx="6">
                  <c:v>8758</c:v>
                </c:pt>
                <c:pt idx="7">
                  <c:v>8959.7142857142862</c:v>
                </c:pt>
                <c:pt idx="8">
                  <c:v>5449</c:v>
                </c:pt>
                <c:pt idx="9">
                  <c:v>6344.1428571428569</c:v>
                </c:pt>
                <c:pt idx="10">
                  <c:v>7482.5714285714284</c:v>
                </c:pt>
                <c:pt idx="11">
                  <c:v>9118.5714285714294</c:v>
                </c:pt>
                <c:pt idx="12">
                  <c:v>6950.4285714285716</c:v>
                </c:pt>
                <c:pt idx="13">
                  <c:v>6530.2857142857147</c:v>
                </c:pt>
                <c:pt idx="14">
                  <c:v>9746.8571428571431</c:v>
                </c:pt>
                <c:pt idx="15">
                  <c:v>6351.5714285714284</c:v>
                </c:pt>
                <c:pt idx="16">
                  <c:v>6736.8571428571431</c:v>
                </c:pt>
                <c:pt idx="17">
                  <c:v>9473</c:v>
                </c:pt>
                <c:pt idx="18">
                  <c:v>5793</c:v>
                </c:pt>
                <c:pt idx="19">
                  <c:v>9579.8571428571431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000-9344-B24B-1DB225AA7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Week starting</a:t>
                </a:r>
              </a:p>
            </c:rich>
          </c:tx>
          <c:overlay val="1"/>
        </c:title>
        <c:numFmt formatCode="dd\ mmm" sourceLinked="0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Steps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t>Avg resting HR by week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'Weekly Trends'!$D$1</c:f>
              <c:strCache>
                <c:ptCount val="1"/>
                <c:pt idx="0">
                  <c:v>Avg Resting HR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'Weekly Trends'!$A$2:$A$21</c:f>
              <c:numCache>
                <c:formatCode>yyyy\-mm\-dd</c:formatCode>
                <c:ptCount val="20"/>
                <c:pt idx="0">
                  <c:v>46153</c:v>
                </c:pt>
                <c:pt idx="1">
                  <c:v>46160</c:v>
                </c:pt>
                <c:pt idx="2">
                  <c:v>46167</c:v>
                </c:pt>
                <c:pt idx="3">
                  <c:v>46174</c:v>
                </c:pt>
                <c:pt idx="4">
                  <c:v>46181</c:v>
                </c:pt>
                <c:pt idx="5">
                  <c:v>46188</c:v>
                </c:pt>
                <c:pt idx="6">
                  <c:v>46195</c:v>
                </c:pt>
                <c:pt idx="7">
                  <c:v>46202</c:v>
                </c:pt>
                <c:pt idx="8">
                  <c:v>46209</c:v>
                </c:pt>
                <c:pt idx="9">
                  <c:v>46216</c:v>
                </c:pt>
                <c:pt idx="10">
                  <c:v>46223</c:v>
                </c:pt>
                <c:pt idx="11">
                  <c:v>46230</c:v>
                </c:pt>
                <c:pt idx="12">
                  <c:v>46237</c:v>
                </c:pt>
                <c:pt idx="13">
                  <c:v>46244</c:v>
                </c:pt>
                <c:pt idx="14">
                  <c:v>46251</c:v>
                </c:pt>
                <c:pt idx="15">
                  <c:v>46258</c:v>
                </c:pt>
                <c:pt idx="16">
                  <c:v>46265</c:v>
                </c:pt>
                <c:pt idx="17">
                  <c:v>46272</c:v>
                </c:pt>
                <c:pt idx="18">
                  <c:v>46279</c:v>
                </c:pt>
                <c:pt idx="19">
                  <c:v>46286</c:v>
                </c:pt>
              </c:numCache>
            </c:numRef>
          </c:cat>
          <c:val>
            <c:numRef>
              <c:f>'Weekly Trends'!$D$2:$D$21</c:f>
              <c:numCache>
                <c:formatCode>0.0</c:formatCode>
                <c:ptCount val="20"/>
                <c:pt idx="0">
                  <c:v>41.333333333333336</c:v>
                </c:pt>
                <c:pt idx="1">
                  <c:v>43.285714285714285</c:v>
                </c:pt>
                <c:pt idx="2">
                  <c:v>42.285714285714285</c:v>
                </c:pt>
                <c:pt idx="3">
                  <c:v>41.285714285714285</c:v>
                </c:pt>
                <c:pt idx="4">
                  <c:v>41.428571428571431</c:v>
                </c:pt>
                <c:pt idx="5">
                  <c:v>42.714285714285715</c:v>
                </c:pt>
                <c:pt idx="6">
                  <c:v>43.714285714285715</c:v>
                </c:pt>
                <c:pt idx="7">
                  <c:v>41.714285714285715</c:v>
                </c:pt>
                <c:pt idx="8">
                  <c:v>41.714285714285715</c:v>
                </c:pt>
                <c:pt idx="9">
                  <c:v>42.142857142857146</c:v>
                </c:pt>
                <c:pt idx="10">
                  <c:v>41.142857142857146</c:v>
                </c:pt>
                <c:pt idx="11">
                  <c:v>41.714285714285715</c:v>
                </c:pt>
                <c:pt idx="12">
                  <c:v>40.571428571428569</c:v>
                </c:pt>
                <c:pt idx="13">
                  <c:v>42.857142857142854</c:v>
                </c:pt>
                <c:pt idx="14">
                  <c:v>43.857142857142854</c:v>
                </c:pt>
                <c:pt idx="15">
                  <c:v>41</c:v>
                </c:pt>
                <c:pt idx="16">
                  <c:v>40.857142857142854</c:v>
                </c:pt>
                <c:pt idx="17">
                  <c:v>41.285714285714285</c:v>
                </c:pt>
                <c:pt idx="18">
                  <c:v>40.142857142857146</c:v>
                </c:pt>
                <c:pt idx="19">
                  <c:v>40.857142857142854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173-CB48-8BCE-0DF08718FC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Week starting</a:t>
                </a:r>
              </a:p>
            </c:rich>
          </c:tx>
          <c:overlay val="1"/>
        </c:title>
        <c:numFmt formatCode="dd\ mmm" sourceLinked="0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bpm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t>Avg sleep by week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'Weekly Trends'!$E$1</c:f>
              <c:strCache>
                <c:ptCount val="1"/>
                <c:pt idx="0">
                  <c:v>Avg Sleep (h)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'Weekly Trends'!$A$2:$A$21</c:f>
              <c:numCache>
                <c:formatCode>yyyy\-mm\-dd</c:formatCode>
                <c:ptCount val="20"/>
                <c:pt idx="0">
                  <c:v>46153</c:v>
                </c:pt>
                <c:pt idx="1">
                  <c:v>46160</c:v>
                </c:pt>
                <c:pt idx="2">
                  <c:v>46167</c:v>
                </c:pt>
                <c:pt idx="3">
                  <c:v>46174</c:v>
                </c:pt>
                <c:pt idx="4">
                  <c:v>46181</c:v>
                </c:pt>
                <c:pt idx="5">
                  <c:v>46188</c:v>
                </c:pt>
                <c:pt idx="6">
                  <c:v>46195</c:v>
                </c:pt>
                <c:pt idx="7">
                  <c:v>46202</c:v>
                </c:pt>
                <c:pt idx="8">
                  <c:v>46209</c:v>
                </c:pt>
                <c:pt idx="9">
                  <c:v>46216</c:v>
                </c:pt>
                <c:pt idx="10">
                  <c:v>46223</c:v>
                </c:pt>
                <c:pt idx="11">
                  <c:v>46230</c:v>
                </c:pt>
                <c:pt idx="12">
                  <c:v>46237</c:v>
                </c:pt>
                <c:pt idx="13">
                  <c:v>46244</c:v>
                </c:pt>
                <c:pt idx="14">
                  <c:v>46251</c:v>
                </c:pt>
                <c:pt idx="15">
                  <c:v>46258</c:v>
                </c:pt>
                <c:pt idx="16">
                  <c:v>46265</c:v>
                </c:pt>
                <c:pt idx="17">
                  <c:v>46272</c:v>
                </c:pt>
                <c:pt idx="18">
                  <c:v>46279</c:v>
                </c:pt>
                <c:pt idx="19">
                  <c:v>46286</c:v>
                </c:pt>
              </c:numCache>
            </c:numRef>
          </c:cat>
          <c:val>
            <c:numRef>
              <c:f>'Weekly Trends'!$E$2:$E$21</c:f>
              <c:numCache>
                <c:formatCode>0.00</c:formatCode>
                <c:ptCount val="20"/>
                <c:pt idx="0">
                  <c:v>7.8694444444444445</c:v>
                </c:pt>
                <c:pt idx="1">
                  <c:v>7.2976190476190474</c:v>
                </c:pt>
                <c:pt idx="2">
                  <c:v>5.6642857142857137</c:v>
                </c:pt>
                <c:pt idx="3">
                  <c:v>6.9642857142857135</c:v>
                </c:pt>
                <c:pt idx="4">
                  <c:v>6.0738095238095244</c:v>
                </c:pt>
                <c:pt idx="5">
                  <c:v>5.7809523809523808</c:v>
                </c:pt>
                <c:pt idx="6">
                  <c:v>5.7976190476190474</c:v>
                </c:pt>
                <c:pt idx="7">
                  <c:v>5.961904761904762</c:v>
                </c:pt>
                <c:pt idx="8">
                  <c:v>7.4285714285714288</c:v>
                </c:pt>
                <c:pt idx="9">
                  <c:v>7.3428571428571425</c:v>
                </c:pt>
                <c:pt idx="10">
                  <c:v>6.2928571428571427</c:v>
                </c:pt>
                <c:pt idx="11">
                  <c:v>4.871428571428571</c:v>
                </c:pt>
                <c:pt idx="12">
                  <c:v>5.9357142857142859</c:v>
                </c:pt>
                <c:pt idx="13">
                  <c:v>6.4190476190476193</c:v>
                </c:pt>
                <c:pt idx="14">
                  <c:v>6.4738095238095239</c:v>
                </c:pt>
                <c:pt idx="15">
                  <c:v>6.6738095238095241</c:v>
                </c:pt>
                <c:pt idx="16">
                  <c:v>5.5357142857142865</c:v>
                </c:pt>
                <c:pt idx="17">
                  <c:v>4.8809523809523805</c:v>
                </c:pt>
                <c:pt idx="18">
                  <c:v>7.3571428571428577</c:v>
                </c:pt>
                <c:pt idx="19">
                  <c:v>5.7523809523809524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DA8-DE43-A3CF-C5FBE038DF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Week starting</a:t>
                </a:r>
              </a:p>
            </c:rich>
          </c:tx>
          <c:overlay val="1"/>
        </c:title>
        <c:numFmt formatCode="dd\ mmm" sourceLinked="0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Hours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612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17</xdr:row>
      <xdr:rowOff>0</xdr:rowOff>
    </xdr:from>
    <xdr:ext cx="612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8</xdr:col>
      <xdr:colOff>0</xdr:colOff>
      <xdr:row>33</xdr:row>
      <xdr:rowOff>0</xdr:rowOff>
    </xdr:from>
    <xdr:ext cx="612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tabSelected="1"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2" customWidth="1"/>
    <col min="2" max="2" width="8" customWidth="1"/>
    <col min="3" max="3" width="12" customWidth="1"/>
    <col min="4" max="4" width="9" customWidth="1"/>
    <col min="5" max="5" width="11" customWidth="1"/>
    <col min="6" max="7" width="12" customWidth="1"/>
    <col min="8" max="11" width="10" customWidth="1"/>
    <col min="12" max="12" width="7" customWidth="1"/>
    <col min="13" max="13" width="44" customWidth="1"/>
    <col min="14" max="15" width="10" customWidth="1"/>
    <col min="16" max="16" width="12" customWidth="1"/>
    <col min="17" max="21" width="10" customWidth="1"/>
    <col min="22" max="23" width="20" customWidth="1"/>
    <col min="24" max="24" width="8" customWidth="1"/>
  </cols>
  <sheetData>
    <row r="1" spans="1:24" ht="3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">
      <c r="A2" s="2">
        <v>46154</v>
      </c>
      <c r="B2" s="3" t="str">
        <f t="shared" ref="B2:B33" si="0">IF(A2&lt;=DATE(2026,7,20),"P1","P2")</f>
        <v>P1</v>
      </c>
      <c r="C2" s="4">
        <f t="shared" ref="C2:C33" si="1">A2-WEEKDAY(A2,3)</f>
        <v>46153</v>
      </c>
      <c r="D2" s="5">
        <v>2567</v>
      </c>
      <c r="E2" s="5">
        <v>1669</v>
      </c>
      <c r="F2" s="5">
        <v>1437</v>
      </c>
      <c r="G2" s="5">
        <v>10</v>
      </c>
      <c r="H2" s="5">
        <v>61</v>
      </c>
      <c r="I2" s="6">
        <v>43</v>
      </c>
      <c r="J2" s="6">
        <v>60.4</v>
      </c>
      <c r="K2" s="6">
        <v>115</v>
      </c>
      <c r="L2" s="7" t="s">
        <v>24</v>
      </c>
      <c r="M2" s="8"/>
      <c r="N2" s="9">
        <v>0</v>
      </c>
      <c r="O2" s="9">
        <v>0</v>
      </c>
      <c r="P2" s="9">
        <v>0</v>
      </c>
      <c r="Q2" s="10">
        <f t="shared" ref="Q2:Q33" si="2">IF(COUNT(R2:T2)=3,R2+S2+T2,"")</f>
        <v>543</v>
      </c>
      <c r="R2" s="10">
        <v>99</v>
      </c>
      <c r="S2" s="10">
        <v>314</v>
      </c>
      <c r="T2" s="10">
        <v>130</v>
      </c>
      <c r="U2" s="10">
        <v>3</v>
      </c>
      <c r="V2" s="10" t="s">
        <v>25</v>
      </c>
      <c r="W2" s="10" t="s">
        <v>26</v>
      </c>
      <c r="X2" s="10">
        <v>1</v>
      </c>
    </row>
    <row r="3" spans="1:24" x14ac:dyDescent="0.2">
      <c r="A3" s="2">
        <v>46155</v>
      </c>
      <c r="B3" s="3" t="str">
        <f t="shared" si="0"/>
        <v>P1</v>
      </c>
      <c r="C3" s="4">
        <f t="shared" si="1"/>
        <v>46153</v>
      </c>
      <c r="D3" s="5">
        <v>10821</v>
      </c>
      <c r="E3" s="5">
        <v>7631</v>
      </c>
      <c r="F3" s="5">
        <v>5734</v>
      </c>
      <c r="G3" s="5">
        <v>1448</v>
      </c>
      <c r="H3" s="5">
        <v>204</v>
      </c>
      <c r="I3" s="6">
        <v>40</v>
      </c>
      <c r="J3" s="6">
        <v>71.400000000000006</v>
      </c>
      <c r="K3" s="6">
        <v>178</v>
      </c>
      <c r="L3" s="7" t="s">
        <v>24</v>
      </c>
      <c r="M3" s="8" t="s">
        <v>27</v>
      </c>
      <c r="N3" s="9">
        <v>2</v>
      </c>
      <c r="O3" s="9">
        <v>121.3</v>
      </c>
      <c r="P3" s="9">
        <v>1261</v>
      </c>
      <c r="Q3" s="10">
        <f t="shared" si="2"/>
        <v>427</v>
      </c>
      <c r="R3" s="10">
        <v>65</v>
      </c>
      <c r="S3" s="10">
        <v>285</v>
      </c>
      <c r="T3" s="10">
        <v>77</v>
      </c>
      <c r="U3" s="10">
        <v>4</v>
      </c>
      <c r="V3" s="10" t="s">
        <v>28</v>
      </c>
      <c r="W3" s="10" t="s">
        <v>29</v>
      </c>
      <c r="X3" s="10">
        <v>1</v>
      </c>
    </row>
    <row r="4" spans="1:24" x14ac:dyDescent="0.2">
      <c r="A4" s="2">
        <v>46156</v>
      </c>
      <c r="B4" s="3" t="str">
        <f t="shared" si="0"/>
        <v>P1</v>
      </c>
      <c r="C4" s="4">
        <f t="shared" si="1"/>
        <v>46153</v>
      </c>
      <c r="D4" s="5">
        <v>2862</v>
      </c>
      <c r="E4" s="5">
        <v>1864</v>
      </c>
      <c r="F4" s="5">
        <v>1639</v>
      </c>
      <c r="G4" s="5">
        <v>369</v>
      </c>
      <c r="H4" s="5">
        <v>86</v>
      </c>
      <c r="I4" s="6">
        <v>40</v>
      </c>
      <c r="J4" s="6">
        <v>61.5</v>
      </c>
      <c r="K4" s="6">
        <v>126</v>
      </c>
      <c r="L4" s="7" t="s">
        <v>24</v>
      </c>
      <c r="M4" s="8" t="s">
        <v>30</v>
      </c>
      <c r="N4" s="9">
        <v>1</v>
      </c>
      <c r="O4" s="9">
        <v>55.4</v>
      </c>
      <c r="P4" s="9">
        <v>257</v>
      </c>
      <c r="Q4" s="10">
        <f t="shared" si="2"/>
        <v>514</v>
      </c>
      <c r="R4" s="10">
        <v>95</v>
      </c>
      <c r="S4" s="10">
        <v>289</v>
      </c>
      <c r="T4" s="10">
        <v>130</v>
      </c>
      <c r="U4" s="10">
        <v>8</v>
      </c>
      <c r="V4" s="10" t="s">
        <v>31</v>
      </c>
      <c r="W4" s="10" t="s">
        <v>32</v>
      </c>
      <c r="X4" s="10">
        <v>0</v>
      </c>
    </row>
    <row r="5" spans="1:24" x14ac:dyDescent="0.2">
      <c r="A5" s="2">
        <v>46157</v>
      </c>
      <c r="B5" s="3" t="str">
        <f t="shared" si="0"/>
        <v>P1</v>
      </c>
      <c r="C5" s="4">
        <f t="shared" si="1"/>
        <v>46153</v>
      </c>
      <c r="D5" s="5">
        <v>3634</v>
      </c>
      <c r="E5" s="5">
        <v>2362</v>
      </c>
      <c r="F5" s="5">
        <v>2087</v>
      </c>
      <c r="G5" s="5">
        <v>275</v>
      </c>
      <c r="H5" s="5">
        <v>153</v>
      </c>
      <c r="I5" s="6">
        <v>40</v>
      </c>
      <c r="J5" s="6">
        <v>57.2</v>
      </c>
      <c r="K5" s="6">
        <v>109</v>
      </c>
      <c r="L5" s="7" t="s">
        <v>24</v>
      </c>
      <c r="M5" s="8" t="s">
        <v>33</v>
      </c>
      <c r="N5" s="9">
        <v>1</v>
      </c>
      <c r="O5" s="9">
        <v>51.6</v>
      </c>
      <c r="P5" s="9">
        <v>114</v>
      </c>
      <c r="Q5" s="10">
        <f t="shared" si="2"/>
        <v>489</v>
      </c>
      <c r="R5" s="10">
        <v>60</v>
      </c>
      <c r="S5" s="10">
        <v>291</v>
      </c>
      <c r="T5" s="10">
        <v>138</v>
      </c>
      <c r="U5" s="10">
        <v>5</v>
      </c>
      <c r="V5" s="10" t="s">
        <v>34</v>
      </c>
      <c r="W5" s="10" t="s">
        <v>35</v>
      </c>
      <c r="X5" s="10">
        <v>3</v>
      </c>
    </row>
    <row r="6" spans="1:24" x14ac:dyDescent="0.2">
      <c r="A6" s="2">
        <v>46158</v>
      </c>
      <c r="B6" s="3" t="str">
        <f t="shared" si="0"/>
        <v>P1</v>
      </c>
      <c r="C6" s="4">
        <f t="shared" si="1"/>
        <v>46153</v>
      </c>
      <c r="D6" s="5">
        <v>4525</v>
      </c>
      <c r="E6" s="5">
        <v>3078</v>
      </c>
      <c r="F6" s="5">
        <v>2449</v>
      </c>
      <c r="G6" s="5">
        <v>180</v>
      </c>
      <c r="H6" s="5">
        <v>46</v>
      </c>
      <c r="I6" s="6">
        <v>40</v>
      </c>
      <c r="J6" s="6">
        <v>58.1</v>
      </c>
      <c r="K6" s="6">
        <v>116</v>
      </c>
      <c r="L6" s="7" t="s">
        <v>24</v>
      </c>
      <c r="M6" s="8"/>
      <c r="N6" s="9">
        <v>0</v>
      </c>
      <c r="O6" s="9">
        <v>0</v>
      </c>
      <c r="P6" s="9">
        <v>0</v>
      </c>
      <c r="Q6" s="10">
        <f t="shared" si="2"/>
        <v>442</v>
      </c>
      <c r="R6" s="10">
        <v>60</v>
      </c>
      <c r="S6" s="10">
        <v>287</v>
      </c>
      <c r="T6" s="10">
        <v>95</v>
      </c>
      <c r="U6" s="10">
        <v>13</v>
      </c>
      <c r="V6" s="10" t="s">
        <v>36</v>
      </c>
      <c r="W6" s="10" t="s">
        <v>37</v>
      </c>
      <c r="X6" s="10">
        <v>0</v>
      </c>
    </row>
    <row r="7" spans="1:24" x14ac:dyDescent="0.2">
      <c r="A7" s="2">
        <v>46159</v>
      </c>
      <c r="B7" s="3" t="str">
        <f t="shared" si="0"/>
        <v>P1</v>
      </c>
      <c r="C7" s="4">
        <f t="shared" si="1"/>
        <v>46153</v>
      </c>
      <c r="D7" s="5">
        <v>12514</v>
      </c>
      <c r="E7" s="5">
        <v>8995</v>
      </c>
      <c r="F7" s="5">
        <v>6896</v>
      </c>
      <c r="G7" s="5">
        <v>398</v>
      </c>
      <c r="H7" s="5">
        <v>254</v>
      </c>
      <c r="I7" s="6">
        <v>45</v>
      </c>
      <c r="J7" s="6">
        <v>71.2</v>
      </c>
      <c r="K7" s="6">
        <v>160</v>
      </c>
      <c r="L7" s="7" t="s">
        <v>24</v>
      </c>
      <c r="M7" s="8"/>
      <c r="N7" s="9">
        <v>0</v>
      </c>
      <c r="O7" s="9">
        <v>0</v>
      </c>
      <c r="P7" s="9">
        <v>0</v>
      </c>
      <c r="Q7" s="10">
        <f t="shared" si="2"/>
        <v>418</v>
      </c>
      <c r="R7" s="10">
        <v>86</v>
      </c>
      <c r="S7" s="10">
        <v>196</v>
      </c>
      <c r="T7" s="10">
        <v>136</v>
      </c>
      <c r="U7" s="10">
        <v>2</v>
      </c>
      <c r="V7" s="10" t="s">
        <v>38</v>
      </c>
      <c r="W7" s="10" t="s">
        <v>39</v>
      </c>
      <c r="X7" s="10">
        <v>0</v>
      </c>
    </row>
    <row r="8" spans="1:24" x14ac:dyDescent="0.2">
      <c r="A8" s="2">
        <v>46160</v>
      </c>
      <c r="B8" s="3" t="str">
        <f t="shared" si="0"/>
        <v>P1</v>
      </c>
      <c r="C8" s="4">
        <f t="shared" si="1"/>
        <v>46160</v>
      </c>
      <c r="D8" s="5">
        <v>11694</v>
      </c>
      <c r="E8" s="5">
        <v>9131</v>
      </c>
      <c r="F8" s="5">
        <v>7007</v>
      </c>
      <c r="G8" s="5">
        <v>859</v>
      </c>
      <c r="H8" s="5">
        <v>163</v>
      </c>
      <c r="I8" s="6">
        <v>44</v>
      </c>
      <c r="J8" s="6">
        <v>68.099999999999994</v>
      </c>
      <c r="K8" s="6">
        <v>189</v>
      </c>
      <c r="L8" s="7" t="s">
        <v>24</v>
      </c>
      <c r="M8" s="8" t="s">
        <v>40</v>
      </c>
      <c r="N8" s="9">
        <v>2</v>
      </c>
      <c r="O8" s="9">
        <v>76.099999999999994</v>
      </c>
      <c r="P8" s="9">
        <v>633.29999999999995</v>
      </c>
      <c r="Q8" s="10">
        <f t="shared" si="2"/>
        <v>493</v>
      </c>
      <c r="R8" s="10">
        <v>81</v>
      </c>
      <c r="S8" s="10">
        <v>299</v>
      </c>
      <c r="T8" s="10">
        <v>113</v>
      </c>
      <c r="U8" s="10">
        <v>13</v>
      </c>
      <c r="V8" s="10" t="s">
        <v>41</v>
      </c>
      <c r="W8" s="10" t="s">
        <v>42</v>
      </c>
      <c r="X8" s="10">
        <v>0</v>
      </c>
    </row>
    <row r="9" spans="1:24" x14ac:dyDescent="0.2">
      <c r="A9" s="2">
        <v>46161</v>
      </c>
      <c r="B9" s="3" t="str">
        <f t="shared" si="0"/>
        <v>P1</v>
      </c>
      <c r="C9" s="4">
        <f t="shared" si="1"/>
        <v>46160</v>
      </c>
      <c r="D9" s="5">
        <v>6979</v>
      </c>
      <c r="E9" s="5">
        <v>5010</v>
      </c>
      <c r="F9" s="5">
        <v>3911</v>
      </c>
      <c r="G9" s="5">
        <v>472</v>
      </c>
      <c r="H9" s="5">
        <v>107</v>
      </c>
      <c r="I9" s="6">
        <v>40</v>
      </c>
      <c r="J9" s="6">
        <v>59</v>
      </c>
      <c r="K9" s="6">
        <v>109</v>
      </c>
      <c r="L9" s="7" t="s">
        <v>24</v>
      </c>
      <c r="M9" s="8" t="s">
        <v>43</v>
      </c>
      <c r="N9" s="9">
        <v>2</v>
      </c>
      <c r="O9" s="9">
        <v>103.5</v>
      </c>
      <c r="P9" s="9">
        <v>353.9</v>
      </c>
      <c r="Q9" s="10">
        <f t="shared" si="2"/>
        <v>520</v>
      </c>
      <c r="R9" s="10">
        <v>63</v>
      </c>
      <c r="S9" s="10">
        <v>336</v>
      </c>
      <c r="T9" s="10">
        <v>121</v>
      </c>
      <c r="U9" s="10">
        <v>8</v>
      </c>
      <c r="V9" s="10" t="s">
        <v>44</v>
      </c>
      <c r="W9" s="10" t="s">
        <v>45</v>
      </c>
      <c r="X9" s="10">
        <v>0</v>
      </c>
    </row>
    <row r="10" spans="1:24" x14ac:dyDescent="0.2">
      <c r="A10" s="2">
        <v>46162</v>
      </c>
      <c r="B10" s="3" t="str">
        <f t="shared" si="0"/>
        <v>P1</v>
      </c>
      <c r="C10" s="4">
        <f t="shared" si="1"/>
        <v>46160</v>
      </c>
      <c r="D10" s="5">
        <v>1948</v>
      </c>
      <c r="E10" s="5">
        <v>1268</v>
      </c>
      <c r="F10" s="5">
        <v>1067</v>
      </c>
      <c r="G10" s="5">
        <v>537</v>
      </c>
      <c r="H10" s="5">
        <v>43</v>
      </c>
      <c r="I10" s="6">
        <v>40</v>
      </c>
      <c r="J10" s="6">
        <v>61.7</v>
      </c>
      <c r="K10" s="6">
        <v>133</v>
      </c>
      <c r="L10" s="7" t="s">
        <v>24</v>
      </c>
      <c r="M10" s="8" t="s">
        <v>46</v>
      </c>
      <c r="N10" s="9">
        <v>1</v>
      </c>
      <c r="O10" s="9">
        <v>50.9</v>
      </c>
      <c r="P10" s="9">
        <v>348</v>
      </c>
      <c r="Q10" s="10">
        <f t="shared" si="2"/>
        <v>495</v>
      </c>
      <c r="R10" s="10">
        <v>51</v>
      </c>
      <c r="S10" s="10">
        <v>294</v>
      </c>
      <c r="T10" s="10">
        <v>150</v>
      </c>
      <c r="U10" s="10">
        <v>11</v>
      </c>
      <c r="V10" s="10" t="s">
        <v>47</v>
      </c>
      <c r="W10" s="10" t="s">
        <v>48</v>
      </c>
      <c r="X10" s="10">
        <v>0</v>
      </c>
    </row>
    <row r="11" spans="1:24" x14ac:dyDescent="0.2">
      <c r="A11" s="2">
        <v>46163</v>
      </c>
      <c r="B11" s="3" t="str">
        <f t="shared" si="0"/>
        <v>P1</v>
      </c>
      <c r="C11" s="4">
        <f t="shared" si="1"/>
        <v>46160</v>
      </c>
      <c r="D11" s="5">
        <v>12019</v>
      </c>
      <c r="E11" s="5">
        <v>9247</v>
      </c>
      <c r="F11" s="5">
        <v>7179</v>
      </c>
      <c r="G11" s="5">
        <v>892</v>
      </c>
      <c r="H11" s="5">
        <v>158</v>
      </c>
      <c r="I11" s="6">
        <v>42</v>
      </c>
      <c r="J11" s="6">
        <v>72.7</v>
      </c>
      <c r="K11" s="6">
        <v>187</v>
      </c>
      <c r="L11" s="7" t="s">
        <v>24</v>
      </c>
      <c r="M11" s="8" t="s">
        <v>49</v>
      </c>
      <c r="N11" s="9">
        <v>2</v>
      </c>
      <c r="O11" s="9">
        <v>79.099999999999994</v>
      </c>
      <c r="P11" s="9">
        <v>641.6</v>
      </c>
      <c r="Q11" s="10">
        <f t="shared" si="2"/>
        <v>370</v>
      </c>
      <c r="R11" s="10">
        <v>95</v>
      </c>
      <c r="S11" s="10">
        <v>209</v>
      </c>
      <c r="T11" s="10">
        <v>66</v>
      </c>
      <c r="U11" s="10">
        <v>4</v>
      </c>
      <c r="V11" s="10" t="s">
        <v>50</v>
      </c>
      <c r="W11" s="10" t="s">
        <v>51</v>
      </c>
      <c r="X11" s="10">
        <v>5</v>
      </c>
    </row>
    <row r="12" spans="1:24" x14ac:dyDescent="0.2">
      <c r="A12" s="2">
        <v>46164</v>
      </c>
      <c r="B12" s="3" t="str">
        <f t="shared" si="0"/>
        <v>P1</v>
      </c>
      <c r="C12" s="4">
        <f t="shared" si="1"/>
        <v>46160</v>
      </c>
      <c r="D12" s="5">
        <v>2337</v>
      </c>
      <c r="E12" s="5">
        <v>1527</v>
      </c>
      <c r="F12" s="5">
        <v>1313</v>
      </c>
      <c r="G12" s="5">
        <v>263</v>
      </c>
      <c r="H12" s="5">
        <v>44</v>
      </c>
      <c r="I12" s="6">
        <v>44</v>
      </c>
      <c r="J12" s="6">
        <v>60</v>
      </c>
      <c r="K12" s="6">
        <v>122</v>
      </c>
      <c r="L12" s="7" t="s">
        <v>24</v>
      </c>
      <c r="M12" s="8" t="s">
        <v>52</v>
      </c>
      <c r="N12" s="9">
        <v>1</v>
      </c>
      <c r="O12" s="9">
        <v>44.3</v>
      </c>
      <c r="P12" s="9">
        <v>174</v>
      </c>
      <c r="Q12" s="10">
        <f t="shared" si="2"/>
        <v>471</v>
      </c>
      <c r="R12" s="10">
        <v>70</v>
      </c>
      <c r="S12" s="10">
        <v>299</v>
      </c>
      <c r="T12" s="10">
        <v>102</v>
      </c>
      <c r="U12" s="10">
        <v>5</v>
      </c>
      <c r="V12" s="10" t="s">
        <v>53</v>
      </c>
      <c r="W12" s="10" t="s">
        <v>54</v>
      </c>
      <c r="X12" s="10">
        <v>9</v>
      </c>
    </row>
    <row r="13" spans="1:24" x14ac:dyDescent="0.2">
      <c r="A13" s="2">
        <v>46165</v>
      </c>
      <c r="B13" s="3" t="str">
        <f t="shared" si="0"/>
        <v>P1</v>
      </c>
      <c r="C13" s="4">
        <f t="shared" si="1"/>
        <v>46160</v>
      </c>
      <c r="D13" s="5">
        <v>7524</v>
      </c>
      <c r="E13" s="5">
        <v>5164</v>
      </c>
      <c r="F13" s="5">
        <v>3996</v>
      </c>
      <c r="G13" s="5">
        <v>1024</v>
      </c>
      <c r="H13" s="5">
        <v>162</v>
      </c>
      <c r="I13" s="6">
        <v>40</v>
      </c>
      <c r="J13" s="6">
        <v>69.900000000000006</v>
      </c>
      <c r="K13" s="6">
        <v>179</v>
      </c>
      <c r="L13" s="7" t="s">
        <v>24</v>
      </c>
      <c r="M13" s="8" t="s">
        <v>55</v>
      </c>
      <c r="N13" s="9">
        <v>1</v>
      </c>
      <c r="O13" s="9">
        <v>71.5</v>
      </c>
      <c r="P13" s="9">
        <v>850</v>
      </c>
      <c r="Q13" s="10">
        <f t="shared" si="2"/>
        <v>524</v>
      </c>
      <c r="R13" s="10">
        <v>89</v>
      </c>
      <c r="S13" s="10">
        <v>305</v>
      </c>
      <c r="T13" s="10">
        <v>130</v>
      </c>
      <c r="U13" s="10">
        <v>4</v>
      </c>
      <c r="V13" s="10" t="s">
        <v>56</v>
      </c>
      <c r="W13" s="10" t="s">
        <v>57</v>
      </c>
      <c r="X13" s="10">
        <v>0</v>
      </c>
    </row>
    <row r="14" spans="1:24" x14ac:dyDescent="0.2">
      <c r="A14" s="2">
        <v>46166</v>
      </c>
      <c r="B14" s="3" t="str">
        <f t="shared" si="0"/>
        <v>P1</v>
      </c>
      <c r="C14" s="4">
        <f t="shared" si="1"/>
        <v>46160</v>
      </c>
      <c r="D14" s="5">
        <v>19723</v>
      </c>
      <c r="E14" s="5">
        <v>15528</v>
      </c>
      <c r="F14" s="5">
        <v>11546</v>
      </c>
      <c r="G14" s="5">
        <v>1692</v>
      </c>
      <c r="H14" s="5">
        <v>187</v>
      </c>
      <c r="I14" s="6">
        <v>53</v>
      </c>
      <c r="J14" s="6">
        <v>84.1</v>
      </c>
      <c r="K14" s="6">
        <v>180</v>
      </c>
      <c r="L14" s="7" t="s">
        <v>24</v>
      </c>
      <c r="M14" s="8" t="s">
        <v>58</v>
      </c>
      <c r="N14" s="9">
        <v>3</v>
      </c>
      <c r="O14" s="9">
        <v>124.5</v>
      </c>
      <c r="P14" s="9">
        <v>1421.5</v>
      </c>
      <c r="Q14" s="10">
        <f t="shared" si="2"/>
        <v>192</v>
      </c>
      <c r="R14" s="10">
        <v>43</v>
      </c>
      <c r="S14" s="10">
        <v>117</v>
      </c>
      <c r="T14" s="10">
        <v>32</v>
      </c>
      <c r="U14" s="10">
        <v>3</v>
      </c>
      <c r="V14" s="10" t="s">
        <v>59</v>
      </c>
      <c r="W14" s="10" t="s">
        <v>60</v>
      </c>
      <c r="X14" s="10">
        <v>7</v>
      </c>
    </row>
    <row r="15" spans="1:24" x14ac:dyDescent="0.2">
      <c r="A15" s="2">
        <v>46167</v>
      </c>
      <c r="B15" s="3" t="str">
        <f t="shared" si="0"/>
        <v>P1</v>
      </c>
      <c r="C15" s="4">
        <f t="shared" si="1"/>
        <v>46167</v>
      </c>
      <c r="D15" s="5">
        <v>1983</v>
      </c>
      <c r="E15" s="5">
        <v>1289</v>
      </c>
      <c r="F15" s="5">
        <v>1103</v>
      </c>
      <c r="G15" s="5">
        <v>235</v>
      </c>
      <c r="H15" s="5">
        <v>87</v>
      </c>
      <c r="I15" s="6">
        <v>45</v>
      </c>
      <c r="J15" s="6">
        <v>61</v>
      </c>
      <c r="K15" s="6">
        <v>117</v>
      </c>
      <c r="L15" s="7" t="s">
        <v>24</v>
      </c>
      <c r="M15" s="8" t="s">
        <v>61</v>
      </c>
      <c r="N15" s="9">
        <v>1</v>
      </c>
      <c r="O15" s="9">
        <v>36.700000000000003</v>
      </c>
      <c r="P15" s="9">
        <v>153</v>
      </c>
      <c r="Q15" s="10">
        <f t="shared" si="2"/>
        <v>654</v>
      </c>
      <c r="R15" s="10">
        <v>64</v>
      </c>
      <c r="S15" s="10">
        <v>416</v>
      </c>
      <c r="T15" s="10">
        <v>174</v>
      </c>
      <c r="U15" s="10">
        <v>18</v>
      </c>
      <c r="V15" s="10" t="s">
        <v>62</v>
      </c>
      <c r="W15" s="10" t="s">
        <v>63</v>
      </c>
      <c r="X15" s="10">
        <v>0</v>
      </c>
    </row>
    <row r="16" spans="1:24" x14ac:dyDescent="0.2">
      <c r="A16" s="2">
        <v>46168</v>
      </c>
      <c r="B16" s="3" t="str">
        <f t="shared" si="0"/>
        <v>P1</v>
      </c>
      <c r="C16" s="4">
        <f t="shared" si="1"/>
        <v>46167</v>
      </c>
      <c r="D16" s="5">
        <v>9070</v>
      </c>
      <c r="E16" s="5">
        <v>6290</v>
      </c>
      <c r="F16" s="5">
        <v>4905</v>
      </c>
      <c r="G16" s="5">
        <v>635</v>
      </c>
      <c r="H16" s="5">
        <v>177</v>
      </c>
      <c r="I16" s="6">
        <v>45</v>
      </c>
      <c r="J16" s="6">
        <v>66.2</v>
      </c>
      <c r="K16" s="6">
        <v>166</v>
      </c>
      <c r="L16" s="7" t="s">
        <v>24</v>
      </c>
      <c r="M16" s="8" t="s">
        <v>64</v>
      </c>
      <c r="N16" s="9">
        <v>1</v>
      </c>
      <c r="O16" s="9">
        <v>64.8</v>
      </c>
      <c r="P16" s="9">
        <v>381</v>
      </c>
      <c r="Q16" s="10">
        <f t="shared" si="2"/>
        <v>144</v>
      </c>
      <c r="R16" s="10">
        <v>47</v>
      </c>
      <c r="S16" s="10">
        <v>80</v>
      </c>
      <c r="T16" s="10">
        <v>17</v>
      </c>
      <c r="U16" s="10">
        <v>2</v>
      </c>
      <c r="V16" s="10" t="s">
        <v>65</v>
      </c>
      <c r="W16" s="10" t="s">
        <v>66</v>
      </c>
      <c r="X16" s="10">
        <v>0</v>
      </c>
    </row>
    <row r="17" spans="1:24" x14ac:dyDescent="0.2">
      <c r="A17" s="2">
        <v>46169</v>
      </c>
      <c r="B17" s="3" t="str">
        <f t="shared" si="0"/>
        <v>P1</v>
      </c>
      <c r="C17" s="4">
        <f t="shared" si="1"/>
        <v>46167</v>
      </c>
      <c r="D17" s="5">
        <v>4542</v>
      </c>
      <c r="E17" s="5">
        <v>3088</v>
      </c>
      <c r="F17" s="5">
        <v>2483</v>
      </c>
      <c r="G17" s="5">
        <v>719</v>
      </c>
      <c r="H17" s="5">
        <v>68</v>
      </c>
      <c r="I17" s="6">
        <v>40</v>
      </c>
      <c r="J17" s="6">
        <v>60.3</v>
      </c>
      <c r="K17" s="6">
        <v>138</v>
      </c>
      <c r="L17" s="7" t="s">
        <v>24</v>
      </c>
      <c r="M17" s="8" t="s">
        <v>67</v>
      </c>
      <c r="N17" s="9">
        <v>2</v>
      </c>
      <c r="O17" s="9">
        <v>93.5</v>
      </c>
      <c r="P17" s="9">
        <v>557</v>
      </c>
      <c r="Q17" s="10">
        <f t="shared" si="2"/>
        <v>499</v>
      </c>
      <c r="R17" s="10">
        <v>84</v>
      </c>
      <c r="S17" s="10">
        <v>317</v>
      </c>
      <c r="T17" s="10">
        <v>98</v>
      </c>
      <c r="U17" s="10">
        <v>12</v>
      </c>
      <c r="V17" s="10" t="s">
        <v>68</v>
      </c>
      <c r="W17" s="10" t="s">
        <v>69</v>
      </c>
      <c r="X17" s="10">
        <v>9</v>
      </c>
    </row>
    <row r="18" spans="1:24" x14ac:dyDescent="0.2">
      <c r="A18" s="2">
        <v>46170</v>
      </c>
      <c r="B18" s="3" t="str">
        <f t="shared" si="0"/>
        <v>P1</v>
      </c>
      <c r="C18" s="4">
        <f t="shared" si="1"/>
        <v>46167</v>
      </c>
      <c r="D18" s="5">
        <v>2316</v>
      </c>
      <c r="E18" s="5">
        <v>1592</v>
      </c>
      <c r="F18" s="5">
        <v>1311</v>
      </c>
      <c r="G18" s="5">
        <v>102</v>
      </c>
      <c r="H18" s="5">
        <v>27</v>
      </c>
      <c r="I18" s="6">
        <v>43</v>
      </c>
      <c r="J18" s="6">
        <v>64.3</v>
      </c>
      <c r="K18" s="6">
        <v>102</v>
      </c>
      <c r="L18" s="7" t="s">
        <v>24</v>
      </c>
      <c r="M18" s="8"/>
      <c r="N18" s="9">
        <v>0</v>
      </c>
      <c r="O18" s="9">
        <v>0</v>
      </c>
      <c r="P18" s="9">
        <v>0</v>
      </c>
      <c r="Q18" s="10">
        <f t="shared" si="2"/>
        <v>195</v>
      </c>
      <c r="R18" s="10">
        <v>35</v>
      </c>
      <c r="S18" s="10">
        <v>115</v>
      </c>
      <c r="T18" s="10">
        <v>45</v>
      </c>
      <c r="U18" s="10">
        <v>1</v>
      </c>
      <c r="V18" s="10" t="s">
        <v>70</v>
      </c>
      <c r="W18" s="10" t="s">
        <v>71</v>
      </c>
      <c r="X18" s="10">
        <v>5</v>
      </c>
    </row>
    <row r="19" spans="1:24" x14ac:dyDescent="0.2">
      <c r="A19" s="2">
        <v>46171</v>
      </c>
      <c r="B19" s="3" t="str">
        <f t="shared" si="0"/>
        <v>P1</v>
      </c>
      <c r="C19" s="4">
        <f t="shared" si="1"/>
        <v>46167</v>
      </c>
      <c r="D19" s="5">
        <v>24675</v>
      </c>
      <c r="E19" s="5">
        <v>19511</v>
      </c>
      <c r="F19" s="5">
        <v>14861</v>
      </c>
      <c r="G19" s="5">
        <v>1685</v>
      </c>
      <c r="H19" s="5">
        <v>235</v>
      </c>
      <c r="I19" s="6">
        <v>40</v>
      </c>
      <c r="J19" s="6">
        <v>69.7</v>
      </c>
      <c r="K19" s="6">
        <v>179</v>
      </c>
      <c r="L19" s="7" t="s">
        <v>24</v>
      </c>
      <c r="M19" s="8" t="s">
        <v>72</v>
      </c>
      <c r="N19" s="9">
        <v>3</v>
      </c>
      <c r="O19" s="9">
        <v>140.9</v>
      </c>
      <c r="P19" s="9">
        <v>1212.5</v>
      </c>
      <c r="Q19" s="10">
        <f t="shared" si="2"/>
        <v>343</v>
      </c>
      <c r="R19" s="10">
        <v>43</v>
      </c>
      <c r="S19" s="10">
        <v>211</v>
      </c>
      <c r="T19" s="10">
        <v>89</v>
      </c>
      <c r="U19" s="10">
        <v>8</v>
      </c>
      <c r="V19" s="10" t="s">
        <v>73</v>
      </c>
      <c r="W19" s="10" t="s">
        <v>74</v>
      </c>
      <c r="X19" s="10">
        <v>0</v>
      </c>
    </row>
    <row r="20" spans="1:24" x14ac:dyDescent="0.2">
      <c r="A20" s="2">
        <v>46172</v>
      </c>
      <c r="B20" s="3" t="str">
        <f t="shared" si="0"/>
        <v>P1</v>
      </c>
      <c r="C20" s="4">
        <f t="shared" si="1"/>
        <v>46167</v>
      </c>
      <c r="D20" s="5">
        <v>9755</v>
      </c>
      <c r="E20" s="5">
        <v>6777</v>
      </c>
      <c r="F20" s="5">
        <v>5412</v>
      </c>
      <c r="G20" s="5">
        <v>1220</v>
      </c>
      <c r="H20" s="5">
        <v>388</v>
      </c>
      <c r="I20" s="6">
        <v>43</v>
      </c>
      <c r="J20" s="6">
        <v>73.3</v>
      </c>
      <c r="K20" s="6">
        <v>177</v>
      </c>
      <c r="L20" s="7" t="s">
        <v>24</v>
      </c>
      <c r="M20" s="8" t="s">
        <v>75</v>
      </c>
      <c r="N20" s="9">
        <v>1</v>
      </c>
      <c r="O20" s="9">
        <v>89.6</v>
      </c>
      <c r="P20" s="9">
        <v>878</v>
      </c>
      <c r="Q20" s="10">
        <f t="shared" si="2"/>
        <v>191</v>
      </c>
      <c r="R20" s="10">
        <v>33</v>
      </c>
      <c r="S20" s="10">
        <v>128</v>
      </c>
      <c r="T20" s="10">
        <v>30</v>
      </c>
      <c r="U20" s="10">
        <v>6</v>
      </c>
      <c r="V20" s="10" t="s">
        <v>76</v>
      </c>
      <c r="W20" s="10" t="s">
        <v>77</v>
      </c>
      <c r="X20" s="10">
        <v>12</v>
      </c>
    </row>
    <row r="21" spans="1:24" x14ac:dyDescent="0.2">
      <c r="A21" s="2">
        <v>46173</v>
      </c>
      <c r="B21" s="3" t="str">
        <f t="shared" si="0"/>
        <v>P1</v>
      </c>
      <c r="C21" s="4">
        <f t="shared" si="1"/>
        <v>46167</v>
      </c>
      <c r="D21" s="5">
        <v>17695</v>
      </c>
      <c r="E21" s="5">
        <v>13017</v>
      </c>
      <c r="F21" s="5">
        <v>9951</v>
      </c>
      <c r="G21" s="5">
        <v>1903</v>
      </c>
      <c r="H21" s="5">
        <v>219</v>
      </c>
      <c r="I21" s="6">
        <v>40</v>
      </c>
      <c r="J21" s="6">
        <v>73.2</v>
      </c>
      <c r="K21" s="6">
        <v>180</v>
      </c>
      <c r="L21" s="7" t="s">
        <v>24</v>
      </c>
      <c r="M21" s="8" t="s">
        <v>78</v>
      </c>
      <c r="N21" s="9">
        <v>3</v>
      </c>
      <c r="O21" s="9">
        <v>159.1</v>
      </c>
      <c r="P21" s="9">
        <v>1676.1</v>
      </c>
      <c r="Q21" s="10">
        <f t="shared" si="2"/>
        <v>353</v>
      </c>
      <c r="R21" s="10">
        <v>65</v>
      </c>
      <c r="S21" s="10">
        <v>193</v>
      </c>
      <c r="T21" s="10">
        <v>95</v>
      </c>
      <c r="U21" s="10">
        <v>4</v>
      </c>
      <c r="V21" s="10" t="s">
        <v>79</v>
      </c>
      <c r="W21" s="10" t="s">
        <v>80</v>
      </c>
      <c r="X21" s="10">
        <v>1</v>
      </c>
    </row>
    <row r="22" spans="1:24" x14ac:dyDescent="0.2">
      <c r="A22" s="2">
        <v>46174</v>
      </c>
      <c r="B22" s="3" t="str">
        <f t="shared" si="0"/>
        <v>P1</v>
      </c>
      <c r="C22" s="4">
        <f t="shared" si="1"/>
        <v>46174</v>
      </c>
      <c r="D22" s="5">
        <v>3570</v>
      </c>
      <c r="E22" s="5">
        <v>2427</v>
      </c>
      <c r="F22" s="5">
        <v>2021</v>
      </c>
      <c r="G22" s="5">
        <v>146</v>
      </c>
      <c r="H22" s="5">
        <v>100</v>
      </c>
      <c r="I22" s="6">
        <v>40</v>
      </c>
      <c r="J22" s="6">
        <v>56.8</v>
      </c>
      <c r="K22" s="6">
        <v>102</v>
      </c>
      <c r="L22" s="7" t="s">
        <v>24</v>
      </c>
      <c r="M22" s="8"/>
      <c r="N22" s="9">
        <v>0</v>
      </c>
      <c r="O22" s="9">
        <v>0</v>
      </c>
      <c r="P22" s="9">
        <v>0</v>
      </c>
      <c r="Q22" s="10">
        <f t="shared" si="2"/>
        <v>598</v>
      </c>
      <c r="R22" s="10">
        <v>91</v>
      </c>
      <c r="S22" s="10">
        <v>339</v>
      </c>
      <c r="T22" s="10">
        <v>168</v>
      </c>
      <c r="U22" s="10">
        <v>12</v>
      </c>
      <c r="V22" s="10" t="s">
        <v>81</v>
      </c>
      <c r="W22" s="10" t="s">
        <v>82</v>
      </c>
      <c r="X22" s="10">
        <v>0</v>
      </c>
    </row>
    <row r="23" spans="1:24" x14ac:dyDescent="0.2">
      <c r="A23" s="2">
        <v>46175</v>
      </c>
      <c r="B23" s="3" t="str">
        <f t="shared" si="0"/>
        <v>P1</v>
      </c>
      <c r="C23" s="4">
        <f t="shared" si="1"/>
        <v>46174</v>
      </c>
      <c r="D23" s="5">
        <v>5128</v>
      </c>
      <c r="E23" s="5">
        <v>3345</v>
      </c>
      <c r="F23" s="5">
        <v>2949</v>
      </c>
      <c r="G23" s="5">
        <v>281</v>
      </c>
      <c r="H23" s="5">
        <v>243</v>
      </c>
      <c r="I23" s="6">
        <v>40</v>
      </c>
      <c r="J23" s="6">
        <v>59.3</v>
      </c>
      <c r="K23" s="6">
        <v>94</v>
      </c>
      <c r="L23" s="7" t="s">
        <v>24</v>
      </c>
      <c r="M23" s="8"/>
      <c r="N23" s="9">
        <v>0</v>
      </c>
      <c r="O23" s="9">
        <v>0</v>
      </c>
      <c r="P23" s="9">
        <v>0</v>
      </c>
      <c r="Q23" s="10">
        <f t="shared" si="2"/>
        <v>209</v>
      </c>
      <c r="R23" s="10">
        <v>66</v>
      </c>
      <c r="S23" s="10">
        <v>99</v>
      </c>
      <c r="T23" s="10">
        <v>44</v>
      </c>
      <c r="U23" s="10">
        <v>4</v>
      </c>
      <c r="V23" s="10" t="s">
        <v>83</v>
      </c>
      <c r="W23" s="10" t="s">
        <v>84</v>
      </c>
      <c r="X23" s="10">
        <v>0</v>
      </c>
    </row>
    <row r="24" spans="1:24" x14ac:dyDescent="0.2">
      <c r="A24" s="2">
        <v>46176</v>
      </c>
      <c r="B24" s="3" t="str">
        <f t="shared" si="0"/>
        <v>P1</v>
      </c>
      <c r="C24" s="4">
        <f t="shared" si="1"/>
        <v>46174</v>
      </c>
      <c r="D24" s="5">
        <v>3426</v>
      </c>
      <c r="E24" s="5">
        <v>2284</v>
      </c>
      <c r="F24" s="5">
        <v>1954</v>
      </c>
      <c r="G24" s="5">
        <v>154</v>
      </c>
      <c r="H24" s="5">
        <v>102</v>
      </c>
      <c r="I24" s="6">
        <v>40</v>
      </c>
      <c r="J24" s="6">
        <v>56</v>
      </c>
      <c r="K24" s="6">
        <v>102</v>
      </c>
      <c r="L24" s="7" t="s">
        <v>24</v>
      </c>
      <c r="M24" s="8"/>
      <c r="N24" s="9">
        <v>0</v>
      </c>
      <c r="O24" s="9">
        <v>0</v>
      </c>
      <c r="P24" s="9">
        <v>0</v>
      </c>
      <c r="Q24" s="10">
        <f t="shared" si="2"/>
        <v>447</v>
      </c>
      <c r="R24" s="10">
        <v>81</v>
      </c>
      <c r="S24" s="10">
        <v>279</v>
      </c>
      <c r="T24" s="10">
        <v>87</v>
      </c>
      <c r="U24" s="10">
        <v>2</v>
      </c>
      <c r="V24" s="10" t="s">
        <v>85</v>
      </c>
      <c r="W24" s="10" t="s">
        <v>86</v>
      </c>
      <c r="X24" s="10">
        <v>5</v>
      </c>
    </row>
    <row r="25" spans="1:24" x14ac:dyDescent="0.2">
      <c r="A25" s="2">
        <v>46177</v>
      </c>
      <c r="B25" s="3" t="str">
        <f t="shared" si="0"/>
        <v>P1</v>
      </c>
      <c r="C25" s="4">
        <f t="shared" si="1"/>
        <v>46174</v>
      </c>
      <c r="D25" s="5">
        <v>12506</v>
      </c>
      <c r="E25" s="5">
        <v>9141</v>
      </c>
      <c r="F25" s="5">
        <v>7263</v>
      </c>
      <c r="G25" s="5">
        <v>925</v>
      </c>
      <c r="H25" s="5">
        <v>278</v>
      </c>
      <c r="I25" s="6">
        <v>40</v>
      </c>
      <c r="J25" s="6">
        <v>65.7</v>
      </c>
      <c r="K25" s="6">
        <v>184</v>
      </c>
      <c r="L25" s="7" t="s">
        <v>24</v>
      </c>
      <c r="M25" s="8" t="s">
        <v>87</v>
      </c>
      <c r="N25" s="9">
        <v>2</v>
      </c>
      <c r="O25" s="9">
        <v>85.9</v>
      </c>
      <c r="P25" s="9">
        <v>498.9</v>
      </c>
      <c r="Q25" s="10">
        <f t="shared" si="2"/>
        <v>399</v>
      </c>
      <c r="R25" s="10">
        <v>68</v>
      </c>
      <c r="S25" s="10">
        <v>234</v>
      </c>
      <c r="T25" s="10">
        <v>97</v>
      </c>
      <c r="U25" s="10">
        <v>8</v>
      </c>
      <c r="V25" s="10" t="s">
        <v>88</v>
      </c>
      <c r="W25" s="10" t="s">
        <v>89</v>
      </c>
      <c r="X25" s="10">
        <v>0</v>
      </c>
    </row>
    <row r="26" spans="1:24" x14ac:dyDescent="0.2">
      <c r="A26" s="2">
        <v>46178</v>
      </c>
      <c r="B26" s="3" t="str">
        <f t="shared" si="0"/>
        <v>P1</v>
      </c>
      <c r="C26" s="4">
        <f t="shared" si="1"/>
        <v>46174</v>
      </c>
      <c r="D26" s="5">
        <v>9240</v>
      </c>
      <c r="E26" s="5">
        <v>6724</v>
      </c>
      <c r="F26" s="5">
        <v>5196</v>
      </c>
      <c r="G26" s="5">
        <v>308</v>
      </c>
      <c r="H26" s="5">
        <v>117</v>
      </c>
      <c r="I26" s="6">
        <v>42</v>
      </c>
      <c r="J26" s="6">
        <v>65</v>
      </c>
      <c r="K26" s="6">
        <v>116</v>
      </c>
      <c r="L26" s="7" t="s">
        <v>24</v>
      </c>
      <c r="M26" s="8"/>
      <c r="N26" s="9">
        <v>0</v>
      </c>
      <c r="O26" s="9">
        <v>0</v>
      </c>
      <c r="P26" s="9">
        <v>0</v>
      </c>
      <c r="Q26" s="10">
        <f t="shared" si="2"/>
        <v>481</v>
      </c>
      <c r="R26" s="10">
        <v>71</v>
      </c>
      <c r="S26" s="10">
        <v>305</v>
      </c>
      <c r="T26" s="10">
        <v>105</v>
      </c>
      <c r="U26" s="10">
        <v>8</v>
      </c>
      <c r="V26" s="10" t="s">
        <v>90</v>
      </c>
      <c r="W26" s="10" t="s">
        <v>91</v>
      </c>
      <c r="X26" s="10">
        <v>0</v>
      </c>
    </row>
    <row r="27" spans="1:24" x14ac:dyDescent="0.2">
      <c r="A27" s="2">
        <v>46179</v>
      </c>
      <c r="B27" s="3" t="str">
        <f t="shared" si="0"/>
        <v>P1</v>
      </c>
      <c r="C27" s="4">
        <f t="shared" si="1"/>
        <v>46174</v>
      </c>
      <c r="D27" s="5">
        <v>8915</v>
      </c>
      <c r="E27" s="5">
        <v>6157</v>
      </c>
      <c r="F27" s="5">
        <v>4820</v>
      </c>
      <c r="G27" s="5">
        <v>289</v>
      </c>
      <c r="H27" s="5">
        <v>253</v>
      </c>
      <c r="I27" s="6">
        <v>43</v>
      </c>
      <c r="J27" s="6">
        <v>70.400000000000006</v>
      </c>
      <c r="K27" s="6">
        <v>157</v>
      </c>
      <c r="L27" s="7" t="s">
        <v>24</v>
      </c>
      <c r="M27" s="8"/>
      <c r="N27" s="9">
        <v>0</v>
      </c>
      <c r="O27" s="9">
        <v>0</v>
      </c>
      <c r="P27" s="9">
        <v>0</v>
      </c>
      <c r="Q27" s="10">
        <f t="shared" si="2"/>
        <v>422</v>
      </c>
      <c r="R27" s="10">
        <v>94</v>
      </c>
      <c r="S27" s="10">
        <v>217</v>
      </c>
      <c r="T27" s="10">
        <v>111</v>
      </c>
      <c r="U27" s="10">
        <v>6</v>
      </c>
      <c r="V27" s="10" t="s">
        <v>92</v>
      </c>
      <c r="W27" s="10" t="s">
        <v>93</v>
      </c>
      <c r="X27" s="10">
        <v>7</v>
      </c>
    </row>
    <row r="28" spans="1:24" x14ac:dyDescent="0.2">
      <c r="A28" s="2">
        <v>46180</v>
      </c>
      <c r="B28" s="3" t="str">
        <f t="shared" si="0"/>
        <v>P1</v>
      </c>
      <c r="C28" s="4">
        <f t="shared" si="1"/>
        <v>46174</v>
      </c>
      <c r="D28" s="5">
        <v>7774</v>
      </c>
      <c r="E28" s="5">
        <v>5140</v>
      </c>
      <c r="F28" s="5">
        <v>4351</v>
      </c>
      <c r="G28" s="5">
        <v>374</v>
      </c>
      <c r="H28" s="5">
        <v>240</v>
      </c>
      <c r="I28" s="6">
        <v>44</v>
      </c>
      <c r="J28" s="6">
        <v>63.5</v>
      </c>
      <c r="K28" s="6">
        <v>122</v>
      </c>
      <c r="L28" s="7" t="s">
        <v>24</v>
      </c>
      <c r="M28" s="8"/>
      <c r="N28" s="9">
        <v>0</v>
      </c>
      <c r="O28" s="9">
        <v>0</v>
      </c>
      <c r="P28" s="9">
        <v>0</v>
      </c>
      <c r="Q28" s="10">
        <f t="shared" si="2"/>
        <v>369</v>
      </c>
      <c r="R28" s="10">
        <v>61</v>
      </c>
      <c r="S28" s="10">
        <v>203</v>
      </c>
      <c r="T28" s="10">
        <v>105</v>
      </c>
      <c r="U28" s="10">
        <v>3</v>
      </c>
      <c r="V28" s="10" t="s">
        <v>94</v>
      </c>
      <c r="W28" s="10" t="s">
        <v>95</v>
      </c>
      <c r="X28" s="10">
        <v>0</v>
      </c>
    </row>
    <row r="29" spans="1:24" x14ac:dyDescent="0.2">
      <c r="A29" s="2">
        <v>46181</v>
      </c>
      <c r="B29" s="3" t="str">
        <f t="shared" si="0"/>
        <v>P1</v>
      </c>
      <c r="C29" s="4">
        <f t="shared" si="1"/>
        <v>46181</v>
      </c>
      <c r="D29" s="5">
        <v>5739</v>
      </c>
      <c r="E29" s="5">
        <v>3911</v>
      </c>
      <c r="F29" s="5">
        <v>3050</v>
      </c>
      <c r="G29" s="5">
        <v>610</v>
      </c>
      <c r="H29" s="5">
        <v>118</v>
      </c>
      <c r="I29" s="6">
        <v>40</v>
      </c>
      <c r="J29" s="6">
        <v>60.6</v>
      </c>
      <c r="K29" s="6">
        <v>128</v>
      </c>
      <c r="L29" s="7" t="s">
        <v>24</v>
      </c>
      <c r="M29" s="8" t="s">
        <v>96</v>
      </c>
      <c r="N29" s="9">
        <v>1</v>
      </c>
      <c r="O29" s="9">
        <v>113.4</v>
      </c>
      <c r="P29" s="9">
        <v>449</v>
      </c>
      <c r="Q29" s="10">
        <f t="shared" si="2"/>
        <v>294</v>
      </c>
      <c r="R29" s="10">
        <v>56</v>
      </c>
      <c r="S29" s="10">
        <v>188</v>
      </c>
      <c r="T29" s="10">
        <v>50</v>
      </c>
      <c r="U29" s="10">
        <v>4</v>
      </c>
      <c r="V29" s="10" t="s">
        <v>97</v>
      </c>
      <c r="W29" s="10" t="s">
        <v>98</v>
      </c>
      <c r="X29" s="10">
        <v>0</v>
      </c>
    </row>
    <row r="30" spans="1:24" x14ac:dyDescent="0.2">
      <c r="A30" s="2">
        <v>46182</v>
      </c>
      <c r="B30" s="3" t="str">
        <f t="shared" si="0"/>
        <v>P1</v>
      </c>
      <c r="C30" s="4">
        <f t="shared" si="1"/>
        <v>46181</v>
      </c>
      <c r="D30" s="5">
        <v>9947</v>
      </c>
      <c r="E30" s="5">
        <v>6969</v>
      </c>
      <c r="F30" s="5">
        <v>5400</v>
      </c>
      <c r="G30" s="5">
        <v>633</v>
      </c>
      <c r="H30" s="5">
        <v>193</v>
      </c>
      <c r="I30" s="6">
        <v>40</v>
      </c>
      <c r="J30" s="6">
        <v>62.4</v>
      </c>
      <c r="K30" s="6">
        <v>131</v>
      </c>
      <c r="L30" s="7" t="s">
        <v>24</v>
      </c>
      <c r="M30" s="8" t="s">
        <v>99</v>
      </c>
      <c r="N30" s="9">
        <v>1</v>
      </c>
      <c r="O30" s="9">
        <v>72.8</v>
      </c>
      <c r="P30" s="9">
        <v>359</v>
      </c>
      <c r="Q30" s="10">
        <f t="shared" si="2"/>
        <v>400</v>
      </c>
      <c r="R30" s="10">
        <v>79</v>
      </c>
      <c r="S30" s="10">
        <v>220</v>
      </c>
      <c r="T30" s="10">
        <v>101</v>
      </c>
      <c r="U30" s="10">
        <v>8</v>
      </c>
      <c r="V30" s="10" t="s">
        <v>100</v>
      </c>
      <c r="W30" s="10" t="s">
        <v>101</v>
      </c>
      <c r="X30" s="10">
        <v>0</v>
      </c>
    </row>
    <row r="31" spans="1:24" x14ac:dyDescent="0.2">
      <c r="A31" s="2">
        <v>46183</v>
      </c>
      <c r="B31" s="3" t="str">
        <f t="shared" si="0"/>
        <v>P1</v>
      </c>
      <c r="C31" s="4">
        <f t="shared" si="1"/>
        <v>46181</v>
      </c>
      <c r="D31" s="5">
        <v>6419</v>
      </c>
      <c r="E31" s="5">
        <v>4383</v>
      </c>
      <c r="F31" s="5">
        <v>3474</v>
      </c>
      <c r="G31" s="5">
        <v>800</v>
      </c>
      <c r="H31" s="5">
        <v>124</v>
      </c>
      <c r="I31" s="6">
        <v>44</v>
      </c>
      <c r="J31" s="6">
        <v>68.400000000000006</v>
      </c>
      <c r="K31" s="6">
        <v>176</v>
      </c>
      <c r="L31" s="7" t="s">
        <v>24</v>
      </c>
      <c r="M31" s="8" t="s">
        <v>102</v>
      </c>
      <c r="N31" s="9">
        <v>1</v>
      </c>
      <c r="O31" s="9">
        <v>54.5</v>
      </c>
      <c r="P31" s="9">
        <v>602</v>
      </c>
      <c r="Q31" s="10">
        <f t="shared" si="2"/>
        <v>345</v>
      </c>
      <c r="R31" s="10">
        <v>75</v>
      </c>
      <c r="S31" s="10">
        <v>199</v>
      </c>
      <c r="T31" s="10">
        <v>71</v>
      </c>
      <c r="U31" s="10">
        <v>2</v>
      </c>
      <c r="V31" s="10" t="s">
        <v>103</v>
      </c>
      <c r="W31" s="10" t="s">
        <v>104</v>
      </c>
      <c r="X31" s="10">
        <v>0</v>
      </c>
    </row>
    <row r="32" spans="1:24" x14ac:dyDescent="0.2">
      <c r="A32" s="2">
        <v>46184</v>
      </c>
      <c r="B32" s="3" t="str">
        <f t="shared" si="0"/>
        <v>P1</v>
      </c>
      <c r="C32" s="4">
        <f t="shared" si="1"/>
        <v>46181</v>
      </c>
      <c r="D32" s="5">
        <v>5834</v>
      </c>
      <c r="E32" s="5">
        <v>3961</v>
      </c>
      <c r="F32" s="5">
        <v>3255</v>
      </c>
      <c r="G32" s="5">
        <v>700</v>
      </c>
      <c r="H32" s="5">
        <v>149</v>
      </c>
      <c r="I32" s="6">
        <v>42</v>
      </c>
      <c r="J32" s="6">
        <v>63.8</v>
      </c>
      <c r="K32" s="6">
        <v>130</v>
      </c>
      <c r="L32" s="7" t="s">
        <v>24</v>
      </c>
      <c r="M32" s="8" t="s">
        <v>105</v>
      </c>
      <c r="N32" s="9">
        <v>1</v>
      </c>
      <c r="O32" s="9">
        <v>105.4</v>
      </c>
      <c r="P32" s="9">
        <v>531</v>
      </c>
      <c r="Q32" s="10">
        <f t="shared" si="2"/>
        <v>354</v>
      </c>
      <c r="R32" s="10">
        <v>92</v>
      </c>
      <c r="S32" s="10">
        <v>204</v>
      </c>
      <c r="T32" s="10">
        <v>58</v>
      </c>
      <c r="U32" s="10">
        <v>4</v>
      </c>
      <c r="V32" s="10" t="s">
        <v>106</v>
      </c>
      <c r="W32" s="10" t="s">
        <v>107</v>
      </c>
      <c r="X32" s="10">
        <v>0</v>
      </c>
    </row>
    <row r="33" spans="1:24" x14ac:dyDescent="0.2">
      <c r="A33" s="2">
        <v>46185</v>
      </c>
      <c r="B33" s="3" t="str">
        <f t="shared" si="0"/>
        <v>P1</v>
      </c>
      <c r="C33" s="4">
        <f t="shared" si="1"/>
        <v>46181</v>
      </c>
      <c r="D33" s="5">
        <v>9563</v>
      </c>
      <c r="E33" s="5">
        <v>6649</v>
      </c>
      <c r="F33" s="5">
        <v>5322</v>
      </c>
      <c r="G33" s="5">
        <v>704</v>
      </c>
      <c r="H33" s="5">
        <v>153</v>
      </c>
      <c r="I33" s="6">
        <v>44</v>
      </c>
      <c r="J33" s="6">
        <v>66.2</v>
      </c>
      <c r="K33" s="6">
        <v>137</v>
      </c>
      <c r="L33" s="7" t="s">
        <v>24</v>
      </c>
      <c r="M33" s="8" t="s">
        <v>108</v>
      </c>
      <c r="N33" s="9">
        <v>1</v>
      </c>
      <c r="O33" s="9">
        <v>73.2</v>
      </c>
      <c r="P33" s="9">
        <v>436</v>
      </c>
      <c r="Q33" s="10">
        <f t="shared" si="2"/>
        <v>212</v>
      </c>
      <c r="R33" s="10">
        <v>52</v>
      </c>
      <c r="S33" s="10">
        <v>113</v>
      </c>
      <c r="T33" s="10">
        <v>47</v>
      </c>
      <c r="U33" s="10">
        <v>13</v>
      </c>
      <c r="V33" s="10" t="s">
        <v>109</v>
      </c>
      <c r="W33" s="10" t="s">
        <v>110</v>
      </c>
      <c r="X33" s="10">
        <v>7</v>
      </c>
    </row>
    <row r="34" spans="1:24" x14ac:dyDescent="0.2">
      <c r="A34" s="2">
        <v>46186</v>
      </c>
      <c r="B34" s="3" t="str">
        <f t="shared" ref="B34:B65" si="3">IF(A34&lt;=DATE(2026,7,20),"P1","P2")</f>
        <v>P1</v>
      </c>
      <c r="C34" s="4">
        <f t="shared" ref="C34:C65" si="4">A34-WEEKDAY(A34,3)</f>
        <v>46181</v>
      </c>
      <c r="D34" s="5">
        <v>4859</v>
      </c>
      <c r="E34" s="5">
        <v>3266</v>
      </c>
      <c r="F34" s="5">
        <v>2647</v>
      </c>
      <c r="G34" s="5">
        <v>463</v>
      </c>
      <c r="H34" s="5">
        <v>115</v>
      </c>
      <c r="I34" s="6">
        <v>40</v>
      </c>
      <c r="J34" s="6">
        <v>66.3</v>
      </c>
      <c r="K34" s="6">
        <v>123</v>
      </c>
      <c r="L34" s="7" t="s">
        <v>24</v>
      </c>
      <c r="M34" s="8" t="s">
        <v>111</v>
      </c>
      <c r="N34" s="9">
        <v>1</v>
      </c>
      <c r="O34" s="9">
        <v>65</v>
      </c>
      <c r="P34" s="9">
        <v>305</v>
      </c>
      <c r="Q34" s="10">
        <f t="shared" ref="Q34:Q65" si="5">IF(COUNT(R34:T34)=3,R34+S34+T34,"")</f>
        <v>457</v>
      </c>
      <c r="R34" s="10">
        <v>91</v>
      </c>
      <c r="S34" s="10">
        <v>268</v>
      </c>
      <c r="T34" s="10">
        <v>98</v>
      </c>
      <c r="U34" s="10">
        <v>12</v>
      </c>
      <c r="V34" s="10" t="s">
        <v>112</v>
      </c>
      <c r="W34" s="10" t="s">
        <v>113</v>
      </c>
      <c r="X34" s="10">
        <v>0</v>
      </c>
    </row>
    <row r="35" spans="1:24" x14ac:dyDescent="0.2">
      <c r="A35" s="2">
        <v>46187</v>
      </c>
      <c r="B35" s="3" t="str">
        <f t="shared" si="3"/>
        <v>P1</v>
      </c>
      <c r="C35" s="4">
        <f t="shared" si="4"/>
        <v>46181</v>
      </c>
      <c r="D35" s="5">
        <v>17087</v>
      </c>
      <c r="E35" s="5">
        <v>12685</v>
      </c>
      <c r="F35" s="5">
        <v>9581</v>
      </c>
      <c r="G35" s="5">
        <v>1705</v>
      </c>
      <c r="H35" s="5">
        <v>233</v>
      </c>
      <c r="I35" s="6">
        <v>40</v>
      </c>
      <c r="J35" s="6">
        <v>71.099999999999994</v>
      </c>
      <c r="K35" s="6">
        <v>176</v>
      </c>
      <c r="L35" s="7" t="s">
        <v>24</v>
      </c>
      <c r="M35" s="8" t="s">
        <v>114</v>
      </c>
      <c r="N35" s="9">
        <v>2</v>
      </c>
      <c r="O35" s="9">
        <v>145.9</v>
      </c>
      <c r="P35" s="9">
        <v>1350.9</v>
      </c>
      <c r="Q35" s="10">
        <f t="shared" si="5"/>
        <v>489</v>
      </c>
      <c r="R35" s="10">
        <v>128</v>
      </c>
      <c r="S35" s="10">
        <v>254</v>
      </c>
      <c r="T35" s="10">
        <v>107</v>
      </c>
      <c r="U35" s="10">
        <v>9</v>
      </c>
      <c r="V35" s="10" t="s">
        <v>115</v>
      </c>
      <c r="W35" s="10" t="s">
        <v>116</v>
      </c>
      <c r="X35" s="10">
        <v>0</v>
      </c>
    </row>
    <row r="36" spans="1:24" x14ac:dyDescent="0.2">
      <c r="A36" s="2">
        <v>46188</v>
      </c>
      <c r="B36" s="3" t="str">
        <f t="shared" si="3"/>
        <v>P1</v>
      </c>
      <c r="C36" s="4">
        <f t="shared" si="4"/>
        <v>46188</v>
      </c>
      <c r="D36" s="5">
        <v>5810</v>
      </c>
      <c r="E36" s="5">
        <v>3971</v>
      </c>
      <c r="F36" s="5">
        <v>3259</v>
      </c>
      <c r="G36" s="5">
        <v>497</v>
      </c>
      <c r="H36" s="5">
        <v>73</v>
      </c>
      <c r="I36" s="6">
        <v>45</v>
      </c>
      <c r="J36" s="6">
        <v>70.7</v>
      </c>
      <c r="K36" s="6">
        <v>139</v>
      </c>
      <c r="L36" s="7" t="s">
        <v>24</v>
      </c>
      <c r="M36" s="8" t="s">
        <v>52</v>
      </c>
      <c r="N36" s="9">
        <v>1</v>
      </c>
      <c r="O36" s="9">
        <v>44</v>
      </c>
      <c r="P36" s="9">
        <v>301</v>
      </c>
      <c r="Q36" s="10">
        <f t="shared" si="5"/>
        <v>360</v>
      </c>
      <c r="R36" s="10">
        <v>59</v>
      </c>
      <c r="S36" s="10">
        <v>212</v>
      </c>
      <c r="T36" s="10">
        <v>89</v>
      </c>
      <c r="U36" s="10">
        <v>5</v>
      </c>
      <c r="V36" s="10" t="s">
        <v>117</v>
      </c>
      <c r="W36" s="10" t="s">
        <v>118</v>
      </c>
      <c r="X36" s="10">
        <v>5</v>
      </c>
    </row>
    <row r="37" spans="1:24" x14ac:dyDescent="0.2">
      <c r="A37" s="2">
        <v>46189</v>
      </c>
      <c r="B37" s="3" t="str">
        <f t="shared" si="3"/>
        <v>P1</v>
      </c>
      <c r="C37" s="4">
        <f t="shared" si="4"/>
        <v>46188</v>
      </c>
      <c r="D37" s="5">
        <v>5062</v>
      </c>
      <c r="E37" s="5">
        <v>3466</v>
      </c>
      <c r="F37" s="5">
        <v>2749</v>
      </c>
      <c r="G37" s="5">
        <v>179</v>
      </c>
      <c r="H37" s="5">
        <v>107</v>
      </c>
      <c r="I37" s="6">
        <v>50</v>
      </c>
      <c r="J37" s="6">
        <v>69</v>
      </c>
      <c r="K37" s="6">
        <v>117</v>
      </c>
      <c r="L37" s="7" t="s">
        <v>24</v>
      </c>
      <c r="M37" s="8"/>
      <c r="N37" s="9">
        <v>0</v>
      </c>
      <c r="O37" s="9">
        <v>0</v>
      </c>
      <c r="P37" s="9">
        <v>0</v>
      </c>
      <c r="Q37" s="10">
        <f t="shared" si="5"/>
        <v>392</v>
      </c>
      <c r="R37" s="10">
        <v>40</v>
      </c>
      <c r="S37" s="10">
        <v>279</v>
      </c>
      <c r="T37" s="10">
        <v>73</v>
      </c>
      <c r="U37" s="10">
        <v>49</v>
      </c>
      <c r="V37" s="10" t="s">
        <v>119</v>
      </c>
      <c r="W37" s="10" t="s">
        <v>120</v>
      </c>
      <c r="X37" s="10">
        <v>1</v>
      </c>
    </row>
    <row r="38" spans="1:24" x14ac:dyDescent="0.2">
      <c r="A38" s="2">
        <v>46190</v>
      </c>
      <c r="B38" s="3" t="str">
        <f t="shared" si="3"/>
        <v>P1</v>
      </c>
      <c r="C38" s="4">
        <f t="shared" si="4"/>
        <v>46188</v>
      </c>
      <c r="D38" s="5">
        <v>16400</v>
      </c>
      <c r="E38" s="5">
        <v>13365</v>
      </c>
      <c r="F38" s="5">
        <v>9993</v>
      </c>
      <c r="G38" s="5">
        <v>924</v>
      </c>
      <c r="H38" s="5">
        <v>181</v>
      </c>
      <c r="I38" s="6">
        <v>42</v>
      </c>
      <c r="J38" s="6">
        <v>74.5</v>
      </c>
      <c r="K38" s="6">
        <v>180</v>
      </c>
      <c r="L38" s="7" t="s">
        <v>24</v>
      </c>
      <c r="M38" s="8" t="s">
        <v>121</v>
      </c>
      <c r="N38" s="9">
        <v>1</v>
      </c>
      <c r="O38" s="9">
        <v>50.8</v>
      </c>
      <c r="P38" s="9">
        <v>642.29999999999995</v>
      </c>
      <c r="Q38" s="10">
        <f t="shared" si="5"/>
        <v>229</v>
      </c>
      <c r="R38" s="10">
        <v>28</v>
      </c>
      <c r="S38" s="10">
        <v>144</v>
      </c>
      <c r="T38" s="10">
        <v>57</v>
      </c>
      <c r="U38" s="10">
        <v>7</v>
      </c>
      <c r="V38" s="10" t="s">
        <v>122</v>
      </c>
      <c r="W38" s="10" t="s">
        <v>123</v>
      </c>
      <c r="X38" s="10">
        <v>7</v>
      </c>
    </row>
    <row r="39" spans="1:24" x14ac:dyDescent="0.2">
      <c r="A39" s="2">
        <v>46191</v>
      </c>
      <c r="B39" s="3" t="str">
        <f t="shared" si="3"/>
        <v>P1</v>
      </c>
      <c r="C39" s="4">
        <f t="shared" si="4"/>
        <v>46188</v>
      </c>
      <c r="D39" s="5">
        <v>9327</v>
      </c>
      <c r="E39" s="5">
        <v>6198</v>
      </c>
      <c r="F39" s="5">
        <v>5106</v>
      </c>
      <c r="G39" s="5">
        <v>1046</v>
      </c>
      <c r="H39" s="5">
        <v>275</v>
      </c>
      <c r="I39" s="6">
        <v>42</v>
      </c>
      <c r="J39" s="6">
        <v>65.099999999999994</v>
      </c>
      <c r="K39" s="6">
        <v>123</v>
      </c>
      <c r="L39" s="7" t="s">
        <v>24</v>
      </c>
      <c r="M39" s="8" t="s">
        <v>124</v>
      </c>
      <c r="N39" s="9">
        <v>1</v>
      </c>
      <c r="O39" s="9">
        <v>270.89999999999998</v>
      </c>
      <c r="P39" s="9">
        <v>864</v>
      </c>
      <c r="Q39" s="10">
        <f t="shared" si="5"/>
        <v>375</v>
      </c>
      <c r="R39" s="10">
        <v>57</v>
      </c>
      <c r="S39" s="10">
        <v>218</v>
      </c>
      <c r="T39" s="10">
        <v>100</v>
      </c>
      <c r="U39" s="10">
        <v>6</v>
      </c>
      <c r="V39" s="10" t="s">
        <v>125</v>
      </c>
      <c r="W39" s="10" t="s">
        <v>126</v>
      </c>
      <c r="X39" s="10">
        <v>0</v>
      </c>
    </row>
    <row r="40" spans="1:24" x14ac:dyDescent="0.2">
      <c r="A40" s="2">
        <v>46192</v>
      </c>
      <c r="B40" s="3" t="str">
        <f t="shared" si="3"/>
        <v>P1</v>
      </c>
      <c r="C40" s="4">
        <f t="shared" si="4"/>
        <v>46188</v>
      </c>
      <c r="D40" s="5">
        <v>9497</v>
      </c>
      <c r="E40" s="5">
        <v>6747</v>
      </c>
      <c r="F40" s="5">
        <v>5297</v>
      </c>
      <c r="G40" s="5">
        <v>493</v>
      </c>
      <c r="H40" s="5">
        <v>163</v>
      </c>
      <c r="I40" s="6">
        <v>40</v>
      </c>
      <c r="J40" s="6">
        <v>62.4</v>
      </c>
      <c r="K40" s="6">
        <v>133</v>
      </c>
      <c r="L40" s="7" t="s">
        <v>24</v>
      </c>
      <c r="M40" s="8" t="s">
        <v>127</v>
      </c>
      <c r="N40" s="9">
        <v>1</v>
      </c>
      <c r="O40" s="9">
        <v>60</v>
      </c>
      <c r="P40" s="9">
        <v>195</v>
      </c>
      <c r="Q40" s="10">
        <f t="shared" si="5"/>
        <v>338</v>
      </c>
      <c r="R40" s="10">
        <v>66</v>
      </c>
      <c r="S40" s="10">
        <v>191</v>
      </c>
      <c r="T40" s="10">
        <v>81</v>
      </c>
      <c r="U40" s="10">
        <v>11</v>
      </c>
      <c r="V40" s="10" t="s">
        <v>128</v>
      </c>
      <c r="W40" s="10" t="s">
        <v>129</v>
      </c>
      <c r="X40" s="10">
        <v>0</v>
      </c>
    </row>
    <row r="41" spans="1:24" x14ac:dyDescent="0.2">
      <c r="A41" s="2">
        <v>46193</v>
      </c>
      <c r="B41" s="3" t="str">
        <f t="shared" si="3"/>
        <v>P1</v>
      </c>
      <c r="C41" s="4">
        <f t="shared" si="4"/>
        <v>46188</v>
      </c>
      <c r="D41" s="5">
        <v>8712</v>
      </c>
      <c r="E41" s="5">
        <v>6185</v>
      </c>
      <c r="F41" s="5">
        <v>4755</v>
      </c>
      <c r="G41" s="5">
        <v>471</v>
      </c>
      <c r="H41" s="5">
        <v>152</v>
      </c>
      <c r="I41" s="6">
        <v>40</v>
      </c>
      <c r="J41" s="6">
        <v>59.7</v>
      </c>
      <c r="K41" s="6">
        <v>114</v>
      </c>
      <c r="L41" s="7" t="s">
        <v>24</v>
      </c>
      <c r="M41" s="8" t="s">
        <v>130</v>
      </c>
      <c r="N41" s="9">
        <v>1</v>
      </c>
      <c r="O41" s="9">
        <v>59.3</v>
      </c>
      <c r="P41" s="9">
        <v>196</v>
      </c>
      <c r="Q41" s="10">
        <f t="shared" si="5"/>
        <v>522</v>
      </c>
      <c r="R41" s="10">
        <v>95</v>
      </c>
      <c r="S41" s="10">
        <v>302</v>
      </c>
      <c r="T41" s="10">
        <v>125</v>
      </c>
      <c r="U41" s="10">
        <v>27</v>
      </c>
      <c r="V41" s="10" t="s">
        <v>131</v>
      </c>
      <c r="W41" s="10" t="s">
        <v>132</v>
      </c>
      <c r="X41" s="10">
        <v>0</v>
      </c>
    </row>
    <row r="42" spans="1:24" x14ac:dyDescent="0.2">
      <c r="A42" s="2">
        <v>46194</v>
      </c>
      <c r="B42" s="3" t="str">
        <f t="shared" si="3"/>
        <v>P1</v>
      </c>
      <c r="C42" s="4">
        <f t="shared" si="4"/>
        <v>46188</v>
      </c>
      <c r="D42" s="5">
        <v>6573</v>
      </c>
      <c r="E42" s="5">
        <v>4667</v>
      </c>
      <c r="F42" s="5">
        <v>3738</v>
      </c>
      <c r="G42" s="5">
        <v>528</v>
      </c>
      <c r="H42" s="5">
        <v>120</v>
      </c>
      <c r="I42" s="6">
        <v>40</v>
      </c>
      <c r="J42" s="6">
        <v>64.5</v>
      </c>
      <c r="K42" s="6">
        <v>145</v>
      </c>
      <c r="L42" s="7" t="s">
        <v>24</v>
      </c>
      <c r="M42" s="8" t="s">
        <v>133</v>
      </c>
      <c r="N42" s="9">
        <v>1</v>
      </c>
      <c r="O42" s="9">
        <v>61.7</v>
      </c>
      <c r="P42" s="9">
        <v>367</v>
      </c>
      <c r="Q42" s="10">
        <f t="shared" si="5"/>
        <v>212</v>
      </c>
      <c r="R42" s="10">
        <v>22</v>
      </c>
      <c r="S42" s="10">
        <v>132</v>
      </c>
      <c r="T42" s="10">
        <v>58</v>
      </c>
      <c r="U42" s="10">
        <v>0</v>
      </c>
      <c r="V42" s="10" t="s">
        <v>134</v>
      </c>
      <c r="W42" s="10" t="s">
        <v>135</v>
      </c>
      <c r="X42" s="10">
        <v>11</v>
      </c>
    </row>
    <row r="43" spans="1:24" x14ac:dyDescent="0.2">
      <c r="A43" s="2">
        <v>46195</v>
      </c>
      <c r="B43" s="3" t="str">
        <f t="shared" si="3"/>
        <v>P1</v>
      </c>
      <c r="C43" s="4">
        <f t="shared" si="4"/>
        <v>46195</v>
      </c>
      <c r="D43" s="5">
        <v>6034</v>
      </c>
      <c r="E43" s="5">
        <v>4138</v>
      </c>
      <c r="F43" s="5">
        <v>3321</v>
      </c>
      <c r="G43" s="5">
        <v>492</v>
      </c>
      <c r="H43" s="5">
        <v>142</v>
      </c>
      <c r="I43" s="6">
        <v>40</v>
      </c>
      <c r="J43" s="6">
        <v>58.2</v>
      </c>
      <c r="K43" s="6">
        <v>116</v>
      </c>
      <c r="L43" s="7" t="s">
        <v>24</v>
      </c>
      <c r="M43" s="8" t="s">
        <v>136</v>
      </c>
      <c r="N43" s="9">
        <v>1</v>
      </c>
      <c r="O43" s="9">
        <v>68.599999999999994</v>
      </c>
      <c r="P43" s="9">
        <v>259</v>
      </c>
      <c r="Q43" s="10">
        <f t="shared" si="5"/>
        <v>383</v>
      </c>
      <c r="R43" s="10">
        <v>96</v>
      </c>
      <c r="S43" s="10">
        <v>235</v>
      </c>
      <c r="T43" s="10">
        <v>52</v>
      </c>
      <c r="U43" s="10">
        <v>44</v>
      </c>
      <c r="V43" s="10" t="s">
        <v>137</v>
      </c>
      <c r="W43" s="10" t="s">
        <v>138</v>
      </c>
      <c r="X43" s="10">
        <v>1</v>
      </c>
    </row>
    <row r="44" spans="1:24" x14ac:dyDescent="0.2">
      <c r="A44" s="2">
        <v>46196</v>
      </c>
      <c r="B44" s="3" t="str">
        <f t="shared" si="3"/>
        <v>P1</v>
      </c>
      <c r="C44" s="4">
        <f t="shared" si="4"/>
        <v>46195</v>
      </c>
      <c r="D44" s="5">
        <v>7021</v>
      </c>
      <c r="E44" s="5">
        <v>4968</v>
      </c>
      <c r="F44" s="5">
        <v>3932</v>
      </c>
      <c r="G44" s="5">
        <v>256</v>
      </c>
      <c r="H44" s="5">
        <v>97</v>
      </c>
      <c r="I44" s="6">
        <v>48</v>
      </c>
      <c r="J44" s="6">
        <v>65.2</v>
      </c>
      <c r="K44" s="6">
        <v>108</v>
      </c>
      <c r="L44" s="7" t="s">
        <v>24</v>
      </c>
      <c r="M44" s="8"/>
      <c r="N44" s="9">
        <v>0</v>
      </c>
      <c r="O44" s="9">
        <v>0</v>
      </c>
      <c r="P44" s="9">
        <v>0</v>
      </c>
      <c r="Q44" s="10">
        <f t="shared" si="5"/>
        <v>374</v>
      </c>
      <c r="R44" s="10">
        <v>60</v>
      </c>
      <c r="S44" s="10">
        <v>212</v>
      </c>
      <c r="T44" s="10">
        <v>102</v>
      </c>
      <c r="U44" s="10">
        <v>9</v>
      </c>
      <c r="V44" s="10" t="s">
        <v>139</v>
      </c>
      <c r="W44" s="10" t="s">
        <v>140</v>
      </c>
      <c r="X44" s="10">
        <v>0</v>
      </c>
    </row>
    <row r="45" spans="1:24" x14ac:dyDescent="0.2">
      <c r="A45" s="2">
        <v>46197</v>
      </c>
      <c r="B45" s="3" t="str">
        <f t="shared" si="3"/>
        <v>P1</v>
      </c>
      <c r="C45" s="4">
        <f t="shared" si="4"/>
        <v>46195</v>
      </c>
      <c r="D45" s="5">
        <v>10599</v>
      </c>
      <c r="E45" s="5">
        <v>7616</v>
      </c>
      <c r="F45" s="5">
        <v>5957</v>
      </c>
      <c r="G45" s="5">
        <v>948</v>
      </c>
      <c r="H45" s="5">
        <v>197</v>
      </c>
      <c r="I45" s="6">
        <v>40</v>
      </c>
      <c r="J45" s="6">
        <v>60.4</v>
      </c>
      <c r="K45" s="6">
        <v>135</v>
      </c>
      <c r="L45" s="7" t="s">
        <v>24</v>
      </c>
      <c r="M45" s="8" t="s">
        <v>33</v>
      </c>
      <c r="N45" s="9">
        <v>1</v>
      </c>
      <c r="O45" s="9">
        <v>52.1</v>
      </c>
      <c r="P45" s="9">
        <v>288</v>
      </c>
      <c r="Q45" s="10">
        <f t="shared" si="5"/>
        <v>452</v>
      </c>
      <c r="R45" s="10">
        <v>56</v>
      </c>
      <c r="S45" s="10">
        <v>262</v>
      </c>
      <c r="T45" s="10">
        <v>134</v>
      </c>
      <c r="U45" s="10">
        <v>6</v>
      </c>
      <c r="V45" s="10" t="s">
        <v>141</v>
      </c>
      <c r="W45" s="10" t="s">
        <v>142</v>
      </c>
      <c r="X45" s="10">
        <v>0</v>
      </c>
    </row>
    <row r="46" spans="1:24" x14ac:dyDescent="0.2">
      <c r="A46" s="2">
        <v>46198</v>
      </c>
      <c r="B46" s="3" t="str">
        <f t="shared" si="3"/>
        <v>P1</v>
      </c>
      <c r="C46" s="4">
        <f t="shared" si="4"/>
        <v>46195</v>
      </c>
      <c r="D46" s="5">
        <v>10541</v>
      </c>
      <c r="E46" s="5">
        <v>8017</v>
      </c>
      <c r="F46" s="5">
        <v>6357</v>
      </c>
      <c r="G46" s="5">
        <v>1018</v>
      </c>
      <c r="H46" s="5">
        <v>139</v>
      </c>
      <c r="I46" s="6">
        <v>40</v>
      </c>
      <c r="J46" s="6">
        <v>68.099999999999994</v>
      </c>
      <c r="K46" s="6">
        <v>187</v>
      </c>
      <c r="L46" s="7" t="s">
        <v>24</v>
      </c>
      <c r="M46" s="8" t="s">
        <v>143</v>
      </c>
      <c r="N46" s="9">
        <v>2</v>
      </c>
      <c r="O46" s="9">
        <v>59.2</v>
      </c>
      <c r="P46" s="9">
        <v>10.7</v>
      </c>
      <c r="Q46" s="10">
        <f t="shared" si="5"/>
        <v>300</v>
      </c>
      <c r="R46" s="10">
        <v>69</v>
      </c>
      <c r="S46" s="10">
        <v>163</v>
      </c>
      <c r="T46" s="10">
        <v>68</v>
      </c>
      <c r="U46" s="10">
        <v>9</v>
      </c>
      <c r="V46" s="10" t="s">
        <v>144</v>
      </c>
      <c r="W46" s="10" t="s">
        <v>145</v>
      </c>
      <c r="X46" s="10">
        <v>0</v>
      </c>
    </row>
    <row r="47" spans="1:24" x14ac:dyDescent="0.2">
      <c r="A47" s="2">
        <v>46199</v>
      </c>
      <c r="B47" s="3" t="str">
        <f t="shared" si="3"/>
        <v>P1</v>
      </c>
      <c r="C47" s="4">
        <f t="shared" si="4"/>
        <v>46195</v>
      </c>
      <c r="D47" s="5">
        <v>3029</v>
      </c>
      <c r="E47" s="5">
        <v>1986</v>
      </c>
      <c r="F47" s="5">
        <v>1750</v>
      </c>
      <c r="G47" s="5">
        <v>391</v>
      </c>
      <c r="H47" s="5">
        <v>100</v>
      </c>
      <c r="I47" s="6">
        <v>41</v>
      </c>
      <c r="J47" s="6">
        <v>62.8</v>
      </c>
      <c r="K47" s="6">
        <v>125</v>
      </c>
      <c r="L47" s="7" t="s">
        <v>24</v>
      </c>
      <c r="M47" s="8" t="s">
        <v>146</v>
      </c>
      <c r="N47" s="9">
        <v>1</v>
      </c>
      <c r="O47" s="9">
        <v>66.900000000000006</v>
      </c>
      <c r="P47" s="9">
        <v>266</v>
      </c>
      <c r="Q47" s="10">
        <f t="shared" si="5"/>
        <v>430</v>
      </c>
      <c r="R47" s="10">
        <v>76</v>
      </c>
      <c r="S47" s="10">
        <v>260</v>
      </c>
      <c r="T47" s="10">
        <v>94</v>
      </c>
      <c r="U47" s="10">
        <v>11</v>
      </c>
      <c r="V47" s="10" t="s">
        <v>147</v>
      </c>
      <c r="W47" s="10" t="s">
        <v>148</v>
      </c>
      <c r="X47" s="10">
        <v>7</v>
      </c>
    </row>
    <row r="48" spans="1:24" x14ac:dyDescent="0.2">
      <c r="A48" s="2">
        <v>46200</v>
      </c>
      <c r="B48" s="3" t="str">
        <f t="shared" si="3"/>
        <v>P1</v>
      </c>
      <c r="C48" s="4">
        <f t="shared" si="4"/>
        <v>46195</v>
      </c>
      <c r="D48" s="5">
        <v>14436</v>
      </c>
      <c r="E48" s="5">
        <v>10369</v>
      </c>
      <c r="F48" s="5">
        <v>7940</v>
      </c>
      <c r="G48" s="5">
        <v>1460</v>
      </c>
      <c r="H48" s="5">
        <v>107</v>
      </c>
      <c r="I48" s="6">
        <v>53</v>
      </c>
      <c r="J48" s="6">
        <v>85.7</v>
      </c>
      <c r="K48" s="6">
        <v>180</v>
      </c>
      <c r="L48" s="7" t="s">
        <v>24</v>
      </c>
      <c r="M48" s="8" t="s">
        <v>149</v>
      </c>
      <c r="N48" s="9">
        <v>1</v>
      </c>
      <c r="O48" s="9">
        <v>105.4</v>
      </c>
      <c r="P48" s="9">
        <v>1182</v>
      </c>
      <c r="Q48" s="10">
        <f t="shared" si="5"/>
        <v>214</v>
      </c>
      <c r="R48" s="10">
        <v>55</v>
      </c>
      <c r="S48" s="10">
        <v>115</v>
      </c>
      <c r="T48" s="10">
        <v>44</v>
      </c>
      <c r="U48" s="10">
        <v>3</v>
      </c>
      <c r="V48" s="10" t="s">
        <v>150</v>
      </c>
      <c r="W48" s="10" t="s">
        <v>151</v>
      </c>
      <c r="X48" s="10">
        <v>0</v>
      </c>
    </row>
    <row r="49" spans="1:24" x14ac:dyDescent="0.2">
      <c r="A49" s="2">
        <v>46201</v>
      </c>
      <c r="B49" s="3" t="str">
        <f t="shared" si="3"/>
        <v>P1</v>
      </c>
      <c r="C49" s="4">
        <f t="shared" si="4"/>
        <v>46195</v>
      </c>
      <c r="D49" s="5">
        <v>9646</v>
      </c>
      <c r="E49" s="5">
        <v>7571</v>
      </c>
      <c r="F49" s="5">
        <v>5876</v>
      </c>
      <c r="G49" s="5">
        <v>976</v>
      </c>
      <c r="H49" s="5">
        <v>165</v>
      </c>
      <c r="I49" s="6">
        <v>44</v>
      </c>
      <c r="J49" s="6">
        <v>72.599999999999994</v>
      </c>
      <c r="K49" s="6">
        <v>190</v>
      </c>
      <c r="L49" s="7" t="s">
        <v>24</v>
      </c>
      <c r="M49" s="8" t="s">
        <v>152</v>
      </c>
      <c r="N49" s="9">
        <v>2</v>
      </c>
      <c r="O49" s="9">
        <v>60.6</v>
      </c>
      <c r="P49" s="9">
        <v>609.79999999999995</v>
      </c>
      <c r="Q49" s="10">
        <f t="shared" si="5"/>
        <v>282</v>
      </c>
      <c r="R49" s="10">
        <v>60</v>
      </c>
      <c r="S49" s="10">
        <v>177</v>
      </c>
      <c r="T49" s="10">
        <v>45</v>
      </c>
      <c r="U49" s="10">
        <v>2</v>
      </c>
      <c r="V49" s="10" t="s">
        <v>153</v>
      </c>
      <c r="W49" s="10" t="s">
        <v>154</v>
      </c>
      <c r="X49" s="10">
        <v>9</v>
      </c>
    </row>
    <row r="50" spans="1:24" x14ac:dyDescent="0.2">
      <c r="A50" s="2">
        <v>46202</v>
      </c>
      <c r="B50" s="3" t="str">
        <f t="shared" si="3"/>
        <v>P1</v>
      </c>
      <c r="C50" s="4">
        <f t="shared" si="4"/>
        <v>46202</v>
      </c>
      <c r="D50" s="5">
        <v>4663</v>
      </c>
      <c r="E50" s="5">
        <v>3122</v>
      </c>
      <c r="F50" s="5">
        <v>2573</v>
      </c>
      <c r="G50" s="5">
        <v>173</v>
      </c>
      <c r="H50" s="5">
        <v>74</v>
      </c>
      <c r="I50" s="6">
        <v>46</v>
      </c>
      <c r="J50" s="6">
        <v>66.2</v>
      </c>
      <c r="K50" s="6">
        <v>114</v>
      </c>
      <c r="L50" s="7" t="s">
        <v>24</v>
      </c>
      <c r="M50" s="8"/>
      <c r="N50" s="9">
        <v>0</v>
      </c>
      <c r="O50" s="9">
        <v>0</v>
      </c>
      <c r="P50" s="9">
        <v>0</v>
      </c>
      <c r="Q50" s="10">
        <f t="shared" si="5"/>
        <v>423</v>
      </c>
      <c r="R50" s="10">
        <v>83</v>
      </c>
      <c r="S50" s="10">
        <v>251</v>
      </c>
      <c r="T50" s="10">
        <v>89</v>
      </c>
      <c r="U50" s="10">
        <v>33</v>
      </c>
      <c r="V50" s="10" t="s">
        <v>155</v>
      </c>
      <c r="W50" s="10" t="s">
        <v>156</v>
      </c>
      <c r="X50" s="10">
        <v>3</v>
      </c>
    </row>
    <row r="51" spans="1:24" x14ac:dyDescent="0.2">
      <c r="A51" s="2">
        <v>46203</v>
      </c>
      <c r="B51" s="3" t="str">
        <f t="shared" si="3"/>
        <v>P1</v>
      </c>
      <c r="C51" s="4">
        <f t="shared" si="4"/>
        <v>46202</v>
      </c>
      <c r="D51" s="5">
        <v>4398</v>
      </c>
      <c r="E51" s="5">
        <v>3017</v>
      </c>
      <c r="F51" s="5">
        <v>2502</v>
      </c>
      <c r="G51" s="5">
        <v>359</v>
      </c>
      <c r="H51" s="5">
        <v>118</v>
      </c>
      <c r="I51" s="6">
        <v>41</v>
      </c>
      <c r="J51" s="6">
        <v>60</v>
      </c>
      <c r="K51" s="6">
        <v>116</v>
      </c>
      <c r="L51" s="7" t="s">
        <v>24</v>
      </c>
      <c r="M51" s="8" t="s">
        <v>157</v>
      </c>
      <c r="N51" s="9">
        <v>1</v>
      </c>
      <c r="O51" s="9">
        <v>48.4</v>
      </c>
      <c r="P51" s="9">
        <v>213</v>
      </c>
      <c r="Q51" s="10">
        <f t="shared" si="5"/>
        <v>421</v>
      </c>
      <c r="R51" s="10">
        <v>63</v>
      </c>
      <c r="S51" s="10">
        <v>270</v>
      </c>
      <c r="T51" s="10">
        <v>88</v>
      </c>
      <c r="U51" s="10">
        <v>10</v>
      </c>
      <c r="V51" s="10" t="s">
        <v>158</v>
      </c>
      <c r="W51" s="10" t="s">
        <v>159</v>
      </c>
      <c r="X51" s="10">
        <v>1</v>
      </c>
    </row>
    <row r="52" spans="1:24" x14ac:dyDescent="0.2">
      <c r="A52" s="2">
        <v>46204</v>
      </c>
      <c r="B52" s="3" t="str">
        <f t="shared" si="3"/>
        <v>P1</v>
      </c>
      <c r="C52" s="4">
        <f t="shared" si="4"/>
        <v>46202</v>
      </c>
      <c r="D52" s="5">
        <v>21941</v>
      </c>
      <c r="E52" s="5">
        <v>18509</v>
      </c>
      <c r="F52" s="5">
        <v>13855</v>
      </c>
      <c r="G52" s="5">
        <v>1485</v>
      </c>
      <c r="H52" s="5">
        <v>233</v>
      </c>
      <c r="I52" s="6">
        <v>42</v>
      </c>
      <c r="J52" s="6">
        <v>70.3</v>
      </c>
      <c r="K52" s="6">
        <v>168</v>
      </c>
      <c r="L52" s="7" t="s">
        <v>24</v>
      </c>
      <c r="M52" s="8" t="s">
        <v>160</v>
      </c>
      <c r="N52" s="9">
        <v>1</v>
      </c>
      <c r="O52" s="9">
        <v>104.1</v>
      </c>
      <c r="P52" s="9">
        <v>1257.5</v>
      </c>
      <c r="Q52" s="10">
        <f t="shared" si="5"/>
        <v>231</v>
      </c>
      <c r="R52" s="10">
        <v>59</v>
      </c>
      <c r="S52" s="10">
        <v>125</v>
      </c>
      <c r="T52" s="10">
        <v>47</v>
      </c>
      <c r="U52" s="10">
        <v>3</v>
      </c>
      <c r="V52" s="10" t="s">
        <v>161</v>
      </c>
      <c r="W52" s="10" t="s">
        <v>162</v>
      </c>
      <c r="X52" s="10">
        <v>6</v>
      </c>
    </row>
    <row r="53" spans="1:24" x14ac:dyDescent="0.2">
      <c r="A53" s="2">
        <v>46205</v>
      </c>
      <c r="B53" s="3" t="str">
        <f t="shared" si="3"/>
        <v>P1</v>
      </c>
      <c r="C53" s="4">
        <f t="shared" si="4"/>
        <v>46202</v>
      </c>
      <c r="D53" s="5">
        <v>3909</v>
      </c>
      <c r="E53" s="5">
        <v>2678</v>
      </c>
      <c r="F53" s="5">
        <v>2201</v>
      </c>
      <c r="G53" s="5">
        <v>321</v>
      </c>
      <c r="H53" s="5">
        <v>104</v>
      </c>
      <c r="I53" s="6">
        <v>41</v>
      </c>
      <c r="J53" s="6">
        <v>62</v>
      </c>
      <c r="K53" s="6">
        <v>120</v>
      </c>
      <c r="L53" s="7" t="s">
        <v>24</v>
      </c>
      <c r="M53" s="8" t="s">
        <v>61</v>
      </c>
      <c r="N53" s="9">
        <v>1</v>
      </c>
      <c r="O53" s="9">
        <v>36.700000000000003</v>
      </c>
      <c r="P53" s="9">
        <v>179</v>
      </c>
      <c r="Q53" s="10">
        <f t="shared" si="5"/>
        <v>417</v>
      </c>
      <c r="R53" s="10">
        <v>75</v>
      </c>
      <c r="S53" s="10">
        <v>227</v>
      </c>
      <c r="T53" s="10">
        <v>115</v>
      </c>
      <c r="U53" s="10">
        <v>9</v>
      </c>
      <c r="V53" s="10" t="s">
        <v>163</v>
      </c>
      <c r="W53" s="10" t="s">
        <v>164</v>
      </c>
      <c r="X53" s="10">
        <v>0</v>
      </c>
    </row>
    <row r="54" spans="1:24" x14ac:dyDescent="0.2">
      <c r="A54" s="2">
        <v>46206</v>
      </c>
      <c r="B54" s="3" t="str">
        <f t="shared" si="3"/>
        <v>P1</v>
      </c>
      <c r="C54" s="4">
        <f t="shared" si="4"/>
        <v>46202</v>
      </c>
      <c r="D54" s="5">
        <v>1833</v>
      </c>
      <c r="E54" s="5">
        <v>1207</v>
      </c>
      <c r="F54" s="5">
        <v>1020</v>
      </c>
      <c r="G54" s="5">
        <v>95</v>
      </c>
      <c r="H54" s="5">
        <v>486</v>
      </c>
      <c r="I54" s="6">
        <v>41</v>
      </c>
      <c r="J54" s="6">
        <v>57.2</v>
      </c>
      <c r="K54" s="6">
        <v>108</v>
      </c>
      <c r="L54" s="7" t="s">
        <v>24</v>
      </c>
      <c r="M54" s="8"/>
      <c r="N54" s="9">
        <v>0</v>
      </c>
      <c r="O54" s="9">
        <v>0</v>
      </c>
      <c r="P54" s="9">
        <v>0</v>
      </c>
      <c r="Q54" s="10">
        <f t="shared" si="5"/>
        <v>476</v>
      </c>
      <c r="R54" s="10">
        <v>72</v>
      </c>
      <c r="S54" s="10">
        <v>292</v>
      </c>
      <c r="T54" s="10">
        <v>112</v>
      </c>
      <c r="U54" s="10">
        <v>12</v>
      </c>
      <c r="V54" s="10" t="s">
        <v>165</v>
      </c>
      <c r="W54" s="10" t="s">
        <v>166</v>
      </c>
      <c r="X54" s="10">
        <v>7</v>
      </c>
    </row>
    <row r="55" spans="1:24" x14ac:dyDescent="0.2">
      <c r="A55" s="2">
        <v>46207</v>
      </c>
      <c r="B55" s="3" t="str">
        <f t="shared" si="3"/>
        <v>P1</v>
      </c>
      <c r="C55" s="4">
        <f t="shared" si="4"/>
        <v>46202</v>
      </c>
      <c r="D55" s="5">
        <v>2064</v>
      </c>
      <c r="E55" s="5">
        <v>1415</v>
      </c>
      <c r="F55" s="5">
        <v>1227</v>
      </c>
      <c r="G55" s="5">
        <v>102</v>
      </c>
      <c r="H55" s="5">
        <v>69</v>
      </c>
      <c r="I55" s="6">
        <v>40</v>
      </c>
      <c r="J55" s="6">
        <v>61.3</v>
      </c>
      <c r="K55" s="6">
        <v>121</v>
      </c>
      <c r="L55" s="7" t="s">
        <v>24</v>
      </c>
      <c r="M55" s="8"/>
      <c r="N55" s="9">
        <v>0</v>
      </c>
      <c r="O55" s="9">
        <v>0</v>
      </c>
      <c r="P55" s="9">
        <v>0</v>
      </c>
      <c r="Q55" s="10">
        <f t="shared" si="5"/>
        <v>331</v>
      </c>
      <c r="R55" s="10">
        <v>54</v>
      </c>
      <c r="S55" s="10">
        <v>185</v>
      </c>
      <c r="T55" s="10">
        <v>92</v>
      </c>
      <c r="U55" s="10">
        <v>5</v>
      </c>
      <c r="V55" s="10" t="s">
        <v>167</v>
      </c>
      <c r="W55" s="10" t="s">
        <v>168</v>
      </c>
      <c r="X55" s="10">
        <v>9</v>
      </c>
    </row>
    <row r="56" spans="1:24" x14ac:dyDescent="0.2">
      <c r="A56" s="2">
        <v>46208</v>
      </c>
      <c r="B56" s="3" t="str">
        <f t="shared" si="3"/>
        <v>P1</v>
      </c>
      <c r="C56" s="4">
        <f t="shared" si="4"/>
        <v>46202</v>
      </c>
      <c r="D56" s="5">
        <v>23910</v>
      </c>
      <c r="E56" s="5">
        <v>21305</v>
      </c>
      <c r="F56" s="5">
        <v>15844</v>
      </c>
      <c r="G56" s="5">
        <v>1941</v>
      </c>
      <c r="H56" s="5">
        <v>258</v>
      </c>
      <c r="I56" s="6">
        <v>41</v>
      </c>
      <c r="J56" s="6">
        <v>77.599999999999994</v>
      </c>
      <c r="K56" s="6">
        <v>175</v>
      </c>
      <c r="L56" s="7" t="s">
        <v>24</v>
      </c>
      <c r="M56" s="8" t="s">
        <v>169</v>
      </c>
      <c r="N56" s="9">
        <v>1</v>
      </c>
      <c r="O56" s="9">
        <v>136.4</v>
      </c>
      <c r="P56" s="9">
        <v>1791.6</v>
      </c>
      <c r="Q56" s="10">
        <f t="shared" si="5"/>
        <v>205</v>
      </c>
      <c r="R56" s="10">
        <v>33</v>
      </c>
      <c r="S56" s="10">
        <v>129</v>
      </c>
      <c r="T56" s="10">
        <v>43</v>
      </c>
      <c r="U56" s="10">
        <v>234</v>
      </c>
      <c r="V56" s="10" t="s">
        <v>170</v>
      </c>
      <c r="W56" s="10" t="s">
        <v>171</v>
      </c>
      <c r="X56" s="10">
        <v>9</v>
      </c>
    </row>
    <row r="57" spans="1:24" x14ac:dyDescent="0.2">
      <c r="A57" s="2">
        <v>46209</v>
      </c>
      <c r="B57" s="3" t="str">
        <f t="shared" si="3"/>
        <v>P1</v>
      </c>
      <c r="C57" s="4">
        <f t="shared" si="4"/>
        <v>46209</v>
      </c>
      <c r="D57" s="5">
        <v>2670</v>
      </c>
      <c r="E57" s="5">
        <v>1761</v>
      </c>
      <c r="F57" s="5">
        <v>1542</v>
      </c>
      <c r="G57" s="5">
        <v>391</v>
      </c>
      <c r="H57" s="5">
        <v>65</v>
      </c>
      <c r="I57" s="6">
        <v>40</v>
      </c>
      <c r="J57" s="6">
        <v>60.6</v>
      </c>
      <c r="K57" s="6">
        <v>119</v>
      </c>
      <c r="L57" s="7" t="s">
        <v>24</v>
      </c>
      <c r="M57" s="8" t="s">
        <v>172</v>
      </c>
      <c r="N57" s="9">
        <v>1</v>
      </c>
      <c r="O57" s="9">
        <v>76.7</v>
      </c>
      <c r="P57" s="9">
        <v>300</v>
      </c>
      <c r="Q57" s="10">
        <f t="shared" si="5"/>
        <v>550</v>
      </c>
      <c r="R57" s="10">
        <v>79</v>
      </c>
      <c r="S57" s="10">
        <v>295</v>
      </c>
      <c r="T57" s="10">
        <v>176</v>
      </c>
      <c r="U57" s="10">
        <v>7</v>
      </c>
      <c r="V57" s="10" t="s">
        <v>173</v>
      </c>
      <c r="W57" s="10" t="s">
        <v>174</v>
      </c>
      <c r="X57" s="10">
        <v>0</v>
      </c>
    </row>
    <row r="58" spans="1:24" x14ac:dyDescent="0.2">
      <c r="A58" s="2">
        <v>46210</v>
      </c>
      <c r="B58" s="3" t="str">
        <f t="shared" si="3"/>
        <v>P1</v>
      </c>
      <c r="C58" s="4">
        <f t="shared" si="4"/>
        <v>46209</v>
      </c>
      <c r="D58" s="5">
        <v>2535</v>
      </c>
      <c r="E58" s="5">
        <v>1747</v>
      </c>
      <c r="F58" s="5">
        <v>1445</v>
      </c>
      <c r="G58" s="5">
        <v>122</v>
      </c>
      <c r="H58" s="5">
        <v>43</v>
      </c>
      <c r="I58" s="6">
        <v>44</v>
      </c>
      <c r="J58" s="6">
        <v>59.3</v>
      </c>
      <c r="K58" s="6">
        <v>116</v>
      </c>
      <c r="L58" s="7" t="s">
        <v>24</v>
      </c>
      <c r="M58" s="8"/>
      <c r="N58" s="9">
        <v>0</v>
      </c>
      <c r="O58" s="9">
        <v>0</v>
      </c>
      <c r="P58" s="9">
        <v>0</v>
      </c>
      <c r="Q58" s="10">
        <f t="shared" si="5"/>
        <v>401</v>
      </c>
      <c r="R58" s="10">
        <v>59</v>
      </c>
      <c r="S58" s="10">
        <v>248</v>
      </c>
      <c r="T58" s="10">
        <v>94</v>
      </c>
      <c r="U58" s="10">
        <v>4</v>
      </c>
      <c r="V58" s="10" t="s">
        <v>175</v>
      </c>
      <c r="W58" s="10" t="s">
        <v>176</v>
      </c>
      <c r="X58" s="10">
        <v>0</v>
      </c>
    </row>
    <row r="59" spans="1:24" x14ac:dyDescent="0.2">
      <c r="A59" s="2">
        <v>46211</v>
      </c>
      <c r="B59" s="3" t="str">
        <f t="shared" si="3"/>
        <v>P1</v>
      </c>
      <c r="C59" s="4">
        <f t="shared" si="4"/>
        <v>46209</v>
      </c>
      <c r="D59" s="5">
        <v>9899</v>
      </c>
      <c r="E59" s="5">
        <v>6993</v>
      </c>
      <c r="F59" s="5">
        <v>5439</v>
      </c>
      <c r="G59" s="5">
        <v>620</v>
      </c>
      <c r="H59" s="5">
        <v>131</v>
      </c>
      <c r="I59" s="6">
        <v>43</v>
      </c>
      <c r="J59" s="6">
        <v>61.3</v>
      </c>
      <c r="K59" s="6">
        <v>128</v>
      </c>
      <c r="L59" s="7" t="s">
        <v>24</v>
      </c>
      <c r="M59" s="8" t="s">
        <v>127</v>
      </c>
      <c r="N59" s="9">
        <v>1</v>
      </c>
      <c r="O59" s="9">
        <v>60.1</v>
      </c>
      <c r="P59" s="9">
        <v>291</v>
      </c>
      <c r="Q59" s="10">
        <f t="shared" si="5"/>
        <v>516</v>
      </c>
      <c r="R59" s="10">
        <v>94</v>
      </c>
      <c r="S59" s="10">
        <v>295</v>
      </c>
      <c r="T59" s="10">
        <v>127</v>
      </c>
      <c r="U59" s="10">
        <v>11</v>
      </c>
      <c r="V59" s="10" t="s">
        <v>177</v>
      </c>
      <c r="W59" s="10" t="s">
        <v>178</v>
      </c>
      <c r="X59" s="10">
        <v>0</v>
      </c>
    </row>
    <row r="60" spans="1:24" x14ac:dyDescent="0.2">
      <c r="A60" s="2">
        <v>46212</v>
      </c>
      <c r="B60" s="3" t="str">
        <f t="shared" si="3"/>
        <v>P1</v>
      </c>
      <c r="C60" s="4">
        <f t="shared" si="4"/>
        <v>46209</v>
      </c>
      <c r="D60" s="5">
        <v>6074</v>
      </c>
      <c r="E60" s="5">
        <v>4213</v>
      </c>
      <c r="F60" s="5">
        <v>3353</v>
      </c>
      <c r="G60" s="5">
        <v>224</v>
      </c>
      <c r="H60" s="5">
        <v>131</v>
      </c>
      <c r="I60" s="6">
        <v>40</v>
      </c>
      <c r="J60" s="6">
        <v>56.9</v>
      </c>
      <c r="K60" s="6">
        <v>128</v>
      </c>
      <c r="L60" s="7" t="s">
        <v>24</v>
      </c>
      <c r="M60" s="8"/>
      <c r="N60" s="9">
        <v>0</v>
      </c>
      <c r="O60" s="9">
        <v>0</v>
      </c>
      <c r="P60" s="9">
        <v>0</v>
      </c>
      <c r="Q60" s="10">
        <f t="shared" si="5"/>
        <v>404</v>
      </c>
      <c r="R60" s="10">
        <v>63</v>
      </c>
      <c r="S60" s="10">
        <v>253</v>
      </c>
      <c r="T60" s="10">
        <v>88</v>
      </c>
      <c r="U60" s="10">
        <v>6</v>
      </c>
      <c r="V60" s="10" t="s">
        <v>179</v>
      </c>
      <c r="W60" s="10" t="s">
        <v>180</v>
      </c>
      <c r="X60" s="10">
        <v>0</v>
      </c>
    </row>
    <row r="61" spans="1:24" x14ac:dyDescent="0.2">
      <c r="A61" s="2">
        <v>46213</v>
      </c>
      <c r="B61" s="3" t="str">
        <f t="shared" si="3"/>
        <v>P1</v>
      </c>
      <c r="C61" s="4">
        <f t="shared" si="4"/>
        <v>46209</v>
      </c>
      <c r="D61" s="5">
        <v>9878</v>
      </c>
      <c r="E61" s="5">
        <v>7046</v>
      </c>
      <c r="F61" s="5">
        <v>5461</v>
      </c>
      <c r="G61" s="5">
        <v>555</v>
      </c>
      <c r="H61" s="5">
        <v>208</v>
      </c>
      <c r="I61" s="6">
        <v>43</v>
      </c>
      <c r="J61" s="6">
        <v>62.1</v>
      </c>
      <c r="K61" s="6">
        <v>121</v>
      </c>
      <c r="L61" s="7" t="s">
        <v>24</v>
      </c>
      <c r="M61" s="8" t="s">
        <v>181</v>
      </c>
      <c r="N61" s="9">
        <v>1</v>
      </c>
      <c r="O61" s="9">
        <v>49.3</v>
      </c>
      <c r="P61" s="9">
        <v>247</v>
      </c>
      <c r="Q61" s="10">
        <f t="shared" si="5"/>
        <v>347</v>
      </c>
      <c r="R61" s="10">
        <v>76</v>
      </c>
      <c r="S61" s="10">
        <v>173</v>
      </c>
      <c r="T61" s="10">
        <v>98</v>
      </c>
      <c r="U61" s="10">
        <v>10</v>
      </c>
      <c r="V61" s="10" t="s">
        <v>182</v>
      </c>
      <c r="W61" s="10" t="s">
        <v>183</v>
      </c>
      <c r="X61" s="10">
        <v>0</v>
      </c>
    </row>
    <row r="62" spans="1:24" x14ac:dyDescent="0.2">
      <c r="A62" s="2">
        <v>46214</v>
      </c>
      <c r="B62" s="3" t="str">
        <f t="shared" si="3"/>
        <v>P1</v>
      </c>
      <c r="C62" s="4">
        <f t="shared" si="4"/>
        <v>46209</v>
      </c>
      <c r="D62" s="5">
        <v>4768</v>
      </c>
      <c r="E62" s="5">
        <v>3288</v>
      </c>
      <c r="F62" s="5">
        <v>2623</v>
      </c>
      <c r="G62" s="5">
        <v>390</v>
      </c>
      <c r="H62" s="5">
        <v>74</v>
      </c>
      <c r="I62" s="6">
        <v>40</v>
      </c>
      <c r="J62" s="6">
        <v>63.2</v>
      </c>
      <c r="K62" s="6">
        <v>127</v>
      </c>
      <c r="L62" s="7" t="s">
        <v>24</v>
      </c>
      <c r="M62" s="8" t="s">
        <v>99</v>
      </c>
      <c r="N62" s="9">
        <v>1</v>
      </c>
      <c r="O62" s="9">
        <v>73.3</v>
      </c>
      <c r="P62" s="9">
        <v>227</v>
      </c>
      <c r="Q62" s="10">
        <f t="shared" si="5"/>
        <v>436</v>
      </c>
      <c r="R62" s="10">
        <v>58</v>
      </c>
      <c r="S62" s="10">
        <v>280</v>
      </c>
      <c r="T62" s="10">
        <v>98</v>
      </c>
      <c r="U62" s="10">
        <v>5</v>
      </c>
      <c r="V62" s="10" t="s">
        <v>184</v>
      </c>
      <c r="W62" s="10" t="s">
        <v>185</v>
      </c>
      <c r="X62" s="10">
        <v>0</v>
      </c>
    </row>
    <row r="63" spans="1:24" x14ac:dyDescent="0.2">
      <c r="A63" s="2">
        <v>46215</v>
      </c>
      <c r="B63" s="3" t="str">
        <f t="shared" si="3"/>
        <v>P1</v>
      </c>
      <c r="C63" s="4">
        <f t="shared" si="4"/>
        <v>46209</v>
      </c>
      <c r="D63" s="5">
        <v>2319</v>
      </c>
      <c r="E63" s="5">
        <v>1542</v>
      </c>
      <c r="F63" s="5">
        <v>1323</v>
      </c>
      <c r="G63" s="5">
        <v>132</v>
      </c>
      <c r="H63" s="5">
        <v>49</v>
      </c>
      <c r="I63" s="6">
        <v>42</v>
      </c>
      <c r="J63" s="6">
        <v>57.8</v>
      </c>
      <c r="K63" s="6">
        <v>101</v>
      </c>
      <c r="L63" s="7" t="s">
        <v>24</v>
      </c>
      <c r="M63" s="8"/>
      <c r="N63" s="9">
        <v>0</v>
      </c>
      <c r="O63" s="9">
        <v>0</v>
      </c>
      <c r="P63" s="9">
        <v>0</v>
      </c>
      <c r="Q63" s="10">
        <f t="shared" si="5"/>
        <v>466</v>
      </c>
      <c r="R63" s="10">
        <v>61</v>
      </c>
      <c r="S63" s="10">
        <v>276</v>
      </c>
      <c r="T63" s="10">
        <v>129</v>
      </c>
      <c r="U63" s="10">
        <v>84</v>
      </c>
      <c r="V63" s="10" t="s">
        <v>186</v>
      </c>
      <c r="W63" s="10" t="s">
        <v>187</v>
      </c>
      <c r="X63" s="10">
        <v>0</v>
      </c>
    </row>
    <row r="64" spans="1:24" x14ac:dyDescent="0.2">
      <c r="A64" s="2">
        <v>46216</v>
      </c>
      <c r="B64" s="3" t="str">
        <f t="shared" si="3"/>
        <v>P1</v>
      </c>
      <c r="C64" s="4">
        <f t="shared" si="4"/>
        <v>46216</v>
      </c>
      <c r="D64" s="5">
        <v>6781</v>
      </c>
      <c r="E64" s="5">
        <v>4839</v>
      </c>
      <c r="F64" s="5">
        <v>3822</v>
      </c>
      <c r="G64" s="5">
        <v>465</v>
      </c>
      <c r="H64" s="5">
        <v>108</v>
      </c>
      <c r="I64" s="6">
        <v>40</v>
      </c>
      <c r="J64" s="6">
        <v>56.9</v>
      </c>
      <c r="K64" s="6">
        <v>132</v>
      </c>
      <c r="L64" s="7" t="s">
        <v>24</v>
      </c>
      <c r="M64" s="8" t="s">
        <v>157</v>
      </c>
      <c r="N64" s="9">
        <v>1</v>
      </c>
      <c r="O64" s="9">
        <v>48.4</v>
      </c>
      <c r="P64" s="9">
        <v>252</v>
      </c>
      <c r="Q64" s="10">
        <f t="shared" si="5"/>
        <v>502</v>
      </c>
      <c r="R64" s="10">
        <v>99</v>
      </c>
      <c r="S64" s="10">
        <v>263</v>
      </c>
      <c r="T64" s="10">
        <v>140</v>
      </c>
      <c r="U64" s="10">
        <v>2</v>
      </c>
      <c r="V64" s="10" t="s">
        <v>188</v>
      </c>
      <c r="W64" s="10" t="s">
        <v>189</v>
      </c>
      <c r="X64" s="10">
        <v>0</v>
      </c>
    </row>
    <row r="65" spans="1:24" x14ac:dyDescent="0.2">
      <c r="A65" s="2">
        <v>46217</v>
      </c>
      <c r="B65" s="3" t="str">
        <f t="shared" si="3"/>
        <v>P1</v>
      </c>
      <c r="C65" s="4">
        <f t="shared" si="4"/>
        <v>46216</v>
      </c>
      <c r="D65" s="5">
        <v>3303</v>
      </c>
      <c r="E65" s="5">
        <v>2207</v>
      </c>
      <c r="F65" s="5">
        <v>1862</v>
      </c>
      <c r="G65" s="5">
        <v>448</v>
      </c>
      <c r="H65" s="5">
        <v>134</v>
      </c>
      <c r="I65" s="6">
        <v>40</v>
      </c>
      <c r="J65" s="6">
        <v>58.6</v>
      </c>
      <c r="K65" s="6">
        <v>136</v>
      </c>
      <c r="L65" s="7" t="s">
        <v>24</v>
      </c>
      <c r="M65" s="8" t="s">
        <v>190</v>
      </c>
      <c r="N65" s="9">
        <v>1</v>
      </c>
      <c r="O65" s="9">
        <v>68.2</v>
      </c>
      <c r="P65" s="9">
        <v>325</v>
      </c>
      <c r="Q65" s="10">
        <f t="shared" si="5"/>
        <v>492</v>
      </c>
      <c r="R65" s="10">
        <v>59</v>
      </c>
      <c r="S65" s="10">
        <v>271</v>
      </c>
      <c r="T65" s="10">
        <v>162</v>
      </c>
      <c r="U65" s="10">
        <v>49</v>
      </c>
      <c r="V65" s="10" t="s">
        <v>191</v>
      </c>
      <c r="W65" s="10" t="s">
        <v>192</v>
      </c>
      <c r="X65" s="10">
        <v>7</v>
      </c>
    </row>
    <row r="66" spans="1:24" x14ac:dyDescent="0.2">
      <c r="A66" s="2">
        <v>46218</v>
      </c>
      <c r="B66" s="3" t="str">
        <f t="shared" ref="B66:B97" si="6">IF(A66&lt;=DATE(2026,7,20),"P1","P2")</f>
        <v>P1</v>
      </c>
      <c r="C66" s="4">
        <f t="shared" ref="C66:C97" si="7">A66-WEEKDAY(A66,3)</f>
        <v>46216</v>
      </c>
      <c r="D66" s="5">
        <v>3084</v>
      </c>
      <c r="E66" s="5">
        <v>2065</v>
      </c>
      <c r="F66" s="5">
        <v>1709</v>
      </c>
      <c r="G66" s="5">
        <v>129</v>
      </c>
      <c r="H66" s="5">
        <v>67</v>
      </c>
      <c r="I66" s="6">
        <v>44</v>
      </c>
      <c r="J66" s="6">
        <v>63.2</v>
      </c>
      <c r="K66" s="6">
        <v>113</v>
      </c>
      <c r="L66" s="7" t="s">
        <v>24</v>
      </c>
      <c r="M66" s="8"/>
      <c r="N66" s="9">
        <v>0</v>
      </c>
      <c r="O66" s="9">
        <v>0</v>
      </c>
      <c r="P66" s="9">
        <v>0</v>
      </c>
      <c r="Q66" s="10">
        <f t="shared" ref="Q66:Q97" si="8">IF(COUNT(R66:T66)=3,R66+S66+T66,"")</f>
        <v>463</v>
      </c>
      <c r="R66" s="10">
        <v>95</v>
      </c>
      <c r="S66" s="10">
        <v>249</v>
      </c>
      <c r="T66" s="10">
        <v>119</v>
      </c>
      <c r="U66" s="10">
        <v>3</v>
      </c>
      <c r="V66" s="10" t="s">
        <v>193</v>
      </c>
      <c r="W66" s="10" t="s">
        <v>194</v>
      </c>
      <c r="X66" s="10">
        <v>0</v>
      </c>
    </row>
    <row r="67" spans="1:24" x14ac:dyDescent="0.2">
      <c r="A67" s="2">
        <v>46219</v>
      </c>
      <c r="B67" s="3" t="str">
        <f t="shared" si="6"/>
        <v>P1</v>
      </c>
      <c r="C67" s="4">
        <f t="shared" si="7"/>
        <v>46216</v>
      </c>
      <c r="D67" s="5">
        <v>3321</v>
      </c>
      <c r="E67" s="5">
        <v>2199</v>
      </c>
      <c r="F67" s="5">
        <v>1866</v>
      </c>
      <c r="G67" s="5">
        <v>476</v>
      </c>
      <c r="H67" s="5">
        <v>93</v>
      </c>
      <c r="I67" s="6">
        <v>44</v>
      </c>
      <c r="J67" s="6">
        <v>64.400000000000006</v>
      </c>
      <c r="K67" s="6">
        <v>134</v>
      </c>
      <c r="L67" s="7" t="s">
        <v>24</v>
      </c>
      <c r="M67" s="8" t="s">
        <v>195</v>
      </c>
      <c r="N67" s="9">
        <v>1</v>
      </c>
      <c r="O67" s="9">
        <v>71</v>
      </c>
      <c r="P67" s="9">
        <v>365</v>
      </c>
      <c r="Q67" s="10">
        <f t="shared" si="8"/>
        <v>492</v>
      </c>
      <c r="R67" s="10">
        <v>80</v>
      </c>
      <c r="S67" s="10">
        <v>300</v>
      </c>
      <c r="T67" s="10">
        <v>112</v>
      </c>
      <c r="U67" s="10">
        <v>8</v>
      </c>
      <c r="V67" s="10" t="s">
        <v>196</v>
      </c>
      <c r="W67" s="10" t="s">
        <v>197</v>
      </c>
      <c r="X67" s="10">
        <v>0</v>
      </c>
    </row>
    <row r="68" spans="1:24" x14ac:dyDescent="0.2">
      <c r="A68" s="2">
        <v>46220</v>
      </c>
      <c r="B68" s="3" t="str">
        <f t="shared" si="6"/>
        <v>P1</v>
      </c>
      <c r="C68" s="4">
        <f t="shared" si="7"/>
        <v>46216</v>
      </c>
      <c r="D68" s="5">
        <v>13579</v>
      </c>
      <c r="E68" s="5">
        <v>10993</v>
      </c>
      <c r="F68" s="5">
        <v>8401</v>
      </c>
      <c r="G68" s="5">
        <v>910</v>
      </c>
      <c r="H68" s="5">
        <v>258</v>
      </c>
      <c r="I68" s="6">
        <v>43</v>
      </c>
      <c r="J68" s="6">
        <v>71.2</v>
      </c>
      <c r="K68" s="6">
        <v>184</v>
      </c>
      <c r="L68" s="7" t="s">
        <v>24</v>
      </c>
      <c r="M68" s="8" t="s">
        <v>198</v>
      </c>
      <c r="N68" s="9">
        <v>2</v>
      </c>
      <c r="O68" s="9">
        <v>59</v>
      </c>
      <c r="P68" s="9">
        <v>375.3</v>
      </c>
      <c r="Q68" s="10">
        <f t="shared" si="8"/>
        <v>232</v>
      </c>
      <c r="R68" s="10">
        <v>56</v>
      </c>
      <c r="S68" s="10">
        <v>144</v>
      </c>
      <c r="T68" s="10">
        <v>32</v>
      </c>
      <c r="U68" s="10">
        <v>7</v>
      </c>
      <c r="V68" s="10" t="s">
        <v>199</v>
      </c>
      <c r="W68" s="10" t="s">
        <v>200</v>
      </c>
      <c r="X68" s="10">
        <v>17</v>
      </c>
    </row>
    <row r="69" spans="1:24" x14ac:dyDescent="0.2">
      <c r="A69" s="2">
        <v>46221</v>
      </c>
      <c r="B69" s="3" t="str">
        <f t="shared" si="6"/>
        <v>P1</v>
      </c>
      <c r="C69" s="4">
        <f t="shared" si="7"/>
        <v>46216</v>
      </c>
      <c r="D69" s="5">
        <v>10786</v>
      </c>
      <c r="E69" s="5">
        <v>7634</v>
      </c>
      <c r="F69" s="5">
        <v>6095</v>
      </c>
      <c r="G69" s="5">
        <v>1330</v>
      </c>
      <c r="H69" s="5">
        <v>182</v>
      </c>
      <c r="I69" s="6">
        <v>41</v>
      </c>
      <c r="J69" s="6">
        <v>70.3</v>
      </c>
      <c r="K69" s="6">
        <v>180</v>
      </c>
      <c r="L69" s="7" t="s">
        <v>24</v>
      </c>
      <c r="M69" s="8" t="s">
        <v>201</v>
      </c>
      <c r="N69" s="9">
        <v>1</v>
      </c>
      <c r="O69" s="9">
        <v>94.2</v>
      </c>
      <c r="P69" s="9">
        <v>1123</v>
      </c>
      <c r="Q69" s="10">
        <f t="shared" si="8"/>
        <v>386</v>
      </c>
      <c r="R69" s="10">
        <v>53</v>
      </c>
      <c r="S69" s="10">
        <v>235</v>
      </c>
      <c r="T69" s="10">
        <v>98</v>
      </c>
      <c r="U69" s="10">
        <v>6</v>
      </c>
      <c r="V69" s="10" t="s">
        <v>202</v>
      </c>
      <c r="W69" s="10" t="s">
        <v>203</v>
      </c>
      <c r="X69" s="10">
        <v>0</v>
      </c>
    </row>
    <row r="70" spans="1:24" x14ac:dyDescent="0.2">
      <c r="A70" s="2">
        <v>46222</v>
      </c>
      <c r="B70" s="3" t="str">
        <f t="shared" si="6"/>
        <v>P1</v>
      </c>
      <c r="C70" s="4">
        <f t="shared" si="7"/>
        <v>46216</v>
      </c>
      <c r="D70" s="5">
        <v>3555</v>
      </c>
      <c r="E70" s="5">
        <v>2448</v>
      </c>
      <c r="F70" s="5">
        <v>2138</v>
      </c>
      <c r="G70" s="5">
        <v>173</v>
      </c>
      <c r="H70" s="5">
        <v>96</v>
      </c>
      <c r="I70" s="6">
        <v>43</v>
      </c>
      <c r="J70" s="6">
        <v>63.1</v>
      </c>
      <c r="K70" s="6">
        <v>121</v>
      </c>
      <c r="L70" s="7" t="s">
        <v>24</v>
      </c>
      <c r="M70" s="8" t="s">
        <v>204</v>
      </c>
      <c r="N70" s="9">
        <v>1</v>
      </c>
      <c r="O70" s="9">
        <v>31.5</v>
      </c>
      <c r="P70" s="9">
        <v>171</v>
      </c>
      <c r="Q70" s="10">
        <f t="shared" si="8"/>
        <v>517</v>
      </c>
      <c r="R70" s="10">
        <v>61</v>
      </c>
      <c r="S70" s="10">
        <v>333</v>
      </c>
      <c r="T70" s="10">
        <v>123</v>
      </c>
      <c r="U70" s="10">
        <v>8</v>
      </c>
      <c r="V70" s="10" t="s">
        <v>205</v>
      </c>
      <c r="W70" s="10" t="s">
        <v>206</v>
      </c>
      <c r="X70" s="10">
        <v>0</v>
      </c>
    </row>
    <row r="71" spans="1:24" x14ac:dyDescent="0.2">
      <c r="A71" s="2">
        <v>46223</v>
      </c>
      <c r="B71" s="3" t="str">
        <f t="shared" si="6"/>
        <v>P1</v>
      </c>
      <c r="C71" s="4">
        <f t="shared" si="7"/>
        <v>46223</v>
      </c>
      <c r="D71" s="5">
        <v>5378</v>
      </c>
      <c r="E71" s="5">
        <v>3539</v>
      </c>
      <c r="F71" s="5">
        <v>2954</v>
      </c>
      <c r="G71" s="5">
        <v>397</v>
      </c>
      <c r="H71" s="5">
        <v>135</v>
      </c>
      <c r="I71" s="6">
        <v>45</v>
      </c>
      <c r="J71" s="6">
        <v>72</v>
      </c>
      <c r="K71" s="6">
        <v>122</v>
      </c>
      <c r="L71" s="7" t="s">
        <v>24</v>
      </c>
      <c r="M71" s="8"/>
      <c r="N71" s="9">
        <v>0</v>
      </c>
      <c r="O71" s="9">
        <v>0</v>
      </c>
      <c r="P71" s="9">
        <v>0</v>
      </c>
      <c r="Q71" s="10">
        <f t="shared" si="8"/>
        <v>172</v>
      </c>
      <c r="R71" s="10">
        <v>62</v>
      </c>
      <c r="S71" s="10">
        <v>91</v>
      </c>
      <c r="T71" s="10">
        <v>19</v>
      </c>
      <c r="U71" s="10">
        <v>5</v>
      </c>
      <c r="V71" s="10" t="s">
        <v>207</v>
      </c>
      <c r="W71" s="10" t="s">
        <v>208</v>
      </c>
      <c r="X71" s="10">
        <v>0</v>
      </c>
    </row>
    <row r="72" spans="1:24" x14ac:dyDescent="0.2">
      <c r="A72" s="2">
        <v>46224</v>
      </c>
      <c r="B72" s="3" t="str">
        <f t="shared" si="6"/>
        <v>P2</v>
      </c>
      <c r="C72" s="4">
        <f t="shared" si="7"/>
        <v>46223</v>
      </c>
      <c r="D72" s="5">
        <v>4509</v>
      </c>
      <c r="E72" s="5">
        <v>3025</v>
      </c>
      <c r="F72" s="5">
        <v>2530</v>
      </c>
      <c r="G72" s="5">
        <v>456</v>
      </c>
      <c r="H72" s="5">
        <v>150</v>
      </c>
      <c r="I72" s="6">
        <v>40</v>
      </c>
      <c r="J72" s="6">
        <v>57.6</v>
      </c>
      <c r="K72" s="6">
        <v>116</v>
      </c>
      <c r="L72" s="7" t="s">
        <v>24</v>
      </c>
      <c r="M72" s="8" t="s">
        <v>209</v>
      </c>
      <c r="N72" s="9">
        <v>1</v>
      </c>
      <c r="O72" s="9">
        <v>64.2</v>
      </c>
      <c r="P72" s="9">
        <v>295</v>
      </c>
      <c r="Q72" s="10">
        <f t="shared" si="8"/>
        <v>449</v>
      </c>
      <c r="R72" s="10">
        <v>60</v>
      </c>
      <c r="S72" s="10">
        <v>287</v>
      </c>
      <c r="T72" s="10">
        <v>102</v>
      </c>
      <c r="U72" s="10">
        <v>9</v>
      </c>
      <c r="V72" s="10" t="s">
        <v>210</v>
      </c>
      <c r="W72" s="10" t="s">
        <v>211</v>
      </c>
      <c r="X72" s="10">
        <v>11</v>
      </c>
    </row>
    <row r="73" spans="1:24" x14ac:dyDescent="0.2">
      <c r="A73" s="2">
        <v>46225</v>
      </c>
      <c r="B73" s="3" t="str">
        <f t="shared" si="6"/>
        <v>P2</v>
      </c>
      <c r="C73" s="4">
        <f t="shared" si="7"/>
        <v>46223</v>
      </c>
      <c r="D73" s="5">
        <v>9131</v>
      </c>
      <c r="E73" s="5">
        <v>6343</v>
      </c>
      <c r="F73" s="5">
        <v>4969</v>
      </c>
      <c r="G73" s="5">
        <v>1123</v>
      </c>
      <c r="H73" s="5">
        <v>164</v>
      </c>
      <c r="I73" s="6">
        <v>41</v>
      </c>
      <c r="J73" s="6">
        <v>63.4</v>
      </c>
      <c r="K73" s="6">
        <v>175</v>
      </c>
      <c r="L73" s="7" t="s">
        <v>24</v>
      </c>
      <c r="M73" s="8" t="s">
        <v>212</v>
      </c>
      <c r="N73" s="9">
        <v>2</v>
      </c>
      <c r="O73" s="9">
        <v>116.5</v>
      </c>
      <c r="P73" s="9">
        <v>954</v>
      </c>
      <c r="Q73" s="10">
        <f t="shared" si="8"/>
        <v>432</v>
      </c>
      <c r="R73" s="10">
        <v>64</v>
      </c>
      <c r="S73" s="10">
        <v>292</v>
      </c>
      <c r="T73" s="10">
        <v>76</v>
      </c>
      <c r="U73" s="10">
        <v>6</v>
      </c>
      <c r="V73" s="10" t="s">
        <v>213</v>
      </c>
      <c r="W73" s="10" t="s">
        <v>214</v>
      </c>
      <c r="X73" s="10">
        <v>7</v>
      </c>
    </row>
    <row r="74" spans="1:24" x14ac:dyDescent="0.2">
      <c r="A74" s="2">
        <v>46226</v>
      </c>
      <c r="B74" s="3" t="str">
        <f t="shared" si="6"/>
        <v>P2</v>
      </c>
      <c r="C74" s="4">
        <f t="shared" si="7"/>
        <v>46223</v>
      </c>
      <c r="D74" s="5">
        <v>8137</v>
      </c>
      <c r="E74" s="5">
        <v>5853</v>
      </c>
      <c r="F74" s="5">
        <v>4506</v>
      </c>
      <c r="G74" s="5">
        <v>256</v>
      </c>
      <c r="H74" s="5">
        <v>158</v>
      </c>
      <c r="I74" s="6">
        <v>40</v>
      </c>
      <c r="J74" s="6">
        <v>55.6</v>
      </c>
      <c r="K74" s="6">
        <v>106</v>
      </c>
      <c r="L74" s="7" t="s">
        <v>24</v>
      </c>
      <c r="M74" s="8"/>
      <c r="N74" s="9">
        <v>0</v>
      </c>
      <c r="O74" s="9">
        <v>0</v>
      </c>
      <c r="P74" s="9">
        <v>0</v>
      </c>
      <c r="Q74" s="10">
        <f t="shared" si="8"/>
        <v>342</v>
      </c>
      <c r="R74" s="10">
        <v>40</v>
      </c>
      <c r="S74" s="10">
        <v>221</v>
      </c>
      <c r="T74" s="10">
        <v>81</v>
      </c>
      <c r="U74" s="10">
        <v>16</v>
      </c>
      <c r="V74" s="10" t="s">
        <v>215</v>
      </c>
      <c r="W74" s="10" t="s">
        <v>216</v>
      </c>
      <c r="X74" s="10">
        <v>5</v>
      </c>
    </row>
    <row r="75" spans="1:24" x14ac:dyDescent="0.2">
      <c r="A75" s="2">
        <v>46227</v>
      </c>
      <c r="B75" s="3" t="str">
        <f t="shared" si="6"/>
        <v>P2</v>
      </c>
      <c r="C75" s="4">
        <f t="shared" si="7"/>
        <v>46223</v>
      </c>
      <c r="D75" s="5">
        <v>3750</v>
      </c>
      <c r="E75" s="5">
        <v>2531</v>
      </c>
      <c r="F75" s="5">
        <v>2015</v>
      </c>
      <c r="G75" s="5">
        <v>141</v>
      </c>
      <c r="H75" s="5">
        <v>67</v>
      </c>
      <c r="I75" s="6">
        <v>40</v>
      </c>
      <c r="J75" s="6">
        <v>55.2</v>
      </c>
      <c r="K75" s="6">
        <v>118</v>
      </c>
      <c r="L75" s="7" t="s">
        <v>24</v>
      </c>
      <c r="M75" s="8"/>
      <c r="N75" s="9">
        <v>0</v>
      </c>
      <c r="O75" s="9">
        <v>0</v>
      </c>
      <c r="P75" s="9">
        <v>0</v>
      </c>
      <c r="Q75" s="10">
        <f t="shared" si="8"/>
        <v>310</v>
      </c>
      <c r="R75" s="10">
        <v>67</v>
      </c>
      <c r="S75" s="10">
        <v>197</v>
      </c>
      <c r="T75" s="10">
        <v>46</v>
      </c>
      <c r="U75" s="10">
        <v>28</v>
      </c>
      <c r="V75" s="10" t="s">
        <v>217</v>
      </c>
      <c r="W75" s="10" t="s">
        <v>218</v>
      </c>
      <c r="X75" s="10">
        <v>15</v>
      </c>
    </row>
    <row r="76" spans="1:24" x14ac:dyDescent="0.2">
      <c r="A76" s="2">
        <v>46228</v>
      </c>
      <c r="B76" s="3" t="str">
        <f t="shared" si="6"/>
        <v>P2</v>
      </c>
      <c r="C76" s="4">
        <f t="shared" si="7"/>
        <v>46223</v>
      </c>
      <c r="D76" s="5">
        <v>11226</v>
      </c>
      <c r="E76" s="5">
        <v>7748</v>
      </c>
      <c r="F76" s="5">
        <v>6014</v>
      </c>
      <c r="G76" s="5">
        <v>1310</v>
      </c>
      <c r="H76" s="5">
        <v>140</v>
      </c>
      <c r="I76" s="6">
        <v>41</v>
      </c>
      <c r="J76" s="6">
        <v>65.7</v>
      </c>
      <c r="K76" s="6">
        <v>184</v>
      </c>
      <c r="L76" s="7" t="s">
        <v>24</v>
      </c>
      <c r="M76" s="8" t="s">
        <v>219</v>
      </c>
      <c r="N76" s="9">
        <v>2</v>
      </c>
      <c r="O76" s="9">
        <v>99</v>
      </c>
      <c r="P76" s="9">
        <v>1156</v>
      </c>
      <c r="Q76" s="10">
        <f t="shared" si="8"/>
        <v>410</v>
      </c>
      <c r="R76" s="10">
        <v>59</v>
      </c>
      <c r="S76" s="10">
        <v>252</v>
      </c>
      <c r="T76" s="10">
        <v>99</v>
      </c>
      <c r="U76" s="10">
        <v>9</v>
      </c>
      <c r="V76" s="10" t="s">
        <v>220</v>
      </c>
      <c r="W76" s="10" t="s">
        <v>221</v>
      </c>
      <c r="X76" s="10">
        <v>5</v>
      </c>
    </row>
    <row r="77" spans="1:24" x14ac:dyDescent="0.2">
      <c r="A77" s="2">
        <v>46229</v>
      </c>
      <c r="B77" s="3" t="str">
        <f t="shared" si="6"/>
        <v>P2</v>
      </c>
      <c r="C77" s="4">
        <f t="shared" si="7"/>
        <v>46223</v>
      </c>
      <c r="D77" s="5">
        <v>10247</v>
      </c>
      <c r="E77" s="5">
        <v>7564</v>
      </c>
      <c r="F77" s="5">
        <v>5664</v>
      </c>
      <c r="G77" s="5">
        <v>302</v>
      </c>
      <c r="H77" s="5">
        <v>96</v>
      </c>
      <c r="I77" s="6">
        <v>41</v>
      </c>
      <c r="J77" s="6">
        <v>55.3</v>
      </c>
      <c r="K77" s="6">
        <v>99</v>
      </c>
      <c r="L77" s="7" t="s">
        <v>24</v>
      </c>
      <c r="M77" s="8"/>
      <c r="N77" s="9">
        <v>0</v>
      </c>
      <c r="O77" s="9">
        <v>0</v>
      </c>
      <c r="P77" s="9">
        <v>0</v>
      </c>
      <c r="Q77" s="10">
        <f t="shared" si="8"/>
        <v>528</v>
      </c>
      <c r="R77" s="10">
        <v>109</v>
      </c>
      <c r="S77" s="10">
        <v>290</v>
      </c>
      <c r="T77" s="10">
        <v>129</v>
      </c>
      <c r="U77" s="10">
        <v>7</v>
      </c>
      <c r="V77" s="10" t="s">
        <v>222</v>
      </c>
      <c r="W77" s="10" t="s">
        <v>223</v>
      </c>
      <c r="X77" s="10">
        <v>0</v>
      </c>
    </row>
    <row r="78" spans="1:24" x14ac:dyDescent="0.2">
      <c r="A78" s="2">
        <v>46230</v>
      </c>
      <c r="B78" s="3" t="str">
        <f t="shared" si="6"/>
        <v>P2</v>
      </c>
      <c r="C78" s="4">
        <f t="shared" si="7"/>
        <v>46230</v>
      </c>
      <c r="D78" s="5">
        <v>5250</v>
      </c>
      <c r="E78" s="5">
        <v>3471</v>
      </c>
      <c r="F78" s="5">
        <v>2934</v>
      </c>
      <c r="G78" s="5">
        <v>525</v>
      </c>
      <c r="H78" s="5">
        <v>152</v>
      </c>
      <c r="I78" s="6">
        <v>40</v>
      </c>
      <c r="J78" s="6">
        <v>59</v>
      </c>
      <c r="K78" s="6">
        <v>147</v>
      </c>
      <c r="L78" s="7" t="s">
        <v>24</v>
      </c>
      <c r="M78" s="8" t="s">
        <v>224</v>
      </c>
      <c r="N78" s="9">
        <v>1</v>
      </c>
      <c r="O78" s="9">
        <v>55.9</v>
      </c>
      <c r="P78" s="9">
        <v>339</v>
      </c>
      <c r="Q78" s="10">
        <f t="shared" si="8"/>
        <v>387</v>
      </c>
      <c r="R78" s="10">
        <v>64</v>
      </c>
      <c r="S78" s="10">
        <v>214</v>
      </c>
      <c r="T78" s="10">
        <v>109</v>
      </c>
      <c r="U78" s="10">
        <v>1</v>
      </c>
      <c r="V78" s="10" t="s">
        <v>225</v>
      </c>
      <c r="W78" s="10" t="s">
        <v>226</v>
      </c>
      <c r="X78" s="10">
        <v>11</v>
      </c>
    </row>
    <row r="79" spans="1:24" x14ac:dyDescent="0.2">
      <c r="A79" s="2">
        <v>46231</v>
      </c>
      <c r="B79" s="3" t="str">
        <f t="shared" si="6"/>
        <v>P2</v>
      </c>
      <c r="C79" s="4">
        <f t="shared" si="7"/>
        <v>46230</v>
      </c>
      <c r="D79" s="5">
        <v>4134</v>
      </c>
      <c r="E79" s="5">
        <v>2799</v>
      </c>
      <c r="F79" s="5">
        <v>2252</v>
      </c>
      <c r="G79" s="5">
        <v>172</v>
      </c>
      <c r="H79" s="5">
        <v>104</v>
      </c>
      <c r="I79" s="6">
        <v>41</v>
      </c>
      <c r="J79" s="6">
        <v>56.8</v>
      </c>
      <c r="K79" s="6">
        <v>114</v>
      </c>
      <c r="L79" s="7" t="s">
        <v>24</v>
      </c>
      <c r="M79" s="8"/>
      <c r="N79" s="9">
        <v>0</v>
      </c>
      <c r="O79" s="9">
        <v>0</v>
      </c>
      <c r="P79" s="9">
        <v>0</v>
      </c>
      <c r="Q79" s="10">
        <f t="shared" si="8"/>
        <v>406</v>
      </c>
      <c r="R79" s="10">
        <v>75</v>
      </c>
      <c r="S79" s="10">
        <v>249</v>
      </c>
      <c r="T79" s="10">
        <v>82</v>
      </c>
      <c r="U79" s="10">
        <v>4</v>
      </c>
      <c r="V79" s="10" t="s">
        <v>227</v>
      </c>
      <c r="W79" s="10" t="s">
        <v>228</v>
      </c>
      <c r="X79" s="10">
        <v>7</v>
      </c>
    </row>
    <row r="80" spans="1:24" x14ac:dyDescent="0.2">
      <c r="A80" s="2">
        <v>46232</v>
      </c>
      <c r="B80" s="3" t="str">
        <f t="shared" si="6"/>
        <v>P2</v>
      </c>
      <c r="C80" s="4">
        <f t="shared" si="7"/>
        <v>46230</v>
      </c>
      <c r="D80" s="5">
        <v>17437</v>
      </c>
      <c r="E80" s="5">
        <v>12984</v>
      </c>
      <c r="F80" s="5">
        <v>9983</v>
      </c>
      <c r="G80" s="5">
        <v>2103</v>
      </c>
      <c r="H80" s="5">
        <v>339</v>
      </c>
      <c r="I80" s="6">
        <v>42</v>
      </c>
      <c r="J80" s="6">
        <v>78.5</v>
      </c>
      <c r="K80" s="6">
        <v>182</v>
      </c>
      <c r="L80" s="7" t="s">
        <v>24</v>
      </c>
      <c r="M80" s="8" t="s">
        <v>229</v>
      </c>
      <c r="N80" s="9">
        <v>3</v>
      </c>
      <c r="O80" s="9">
        <v>191.3</v>
      </c>
      <c r="P80" s="9">
        <v>1807.7</v>
      </c>
      <c r="Q80" s="10">
        <f t="shared" si="8"/>
        <v>176</v>
      </c>
      <c r="R80" s="10">
        <v>59</v>
      </c>
      <c r="S80" s="10">
        <v>82</v>
      </c>
      <c r="T80" s="10">
        <v>35</v>
      </c>
      <c r="U80" s="10">
        <v>3</v>
      </c>
      <c r="V80" s="10" t="s">
        <v>230</v>
      </c>
      <c r="W80" s="10" t="s">
        <v>231</v>
      </c>
      <c r="X80" s="10">
        <v>5</v>
      </c>
    </row>
    <row r="81" spans="1:24" x14ac:dyDescent="0.2">
      <c r="A81" s="2">
        <v>46233</v>
      </c>
      <c r="B81" s="3" t="str">
        <f t="shared" si="6"/>
        <v>P2</v>
      </c>
      <c r="C81" s="4">
        <f t="shared" si="7"/>
        <v>46230</v>
      </c>
      <c r="D81" s="5">
        <v>7373</v>
      </c>
      <c r="E81" s="5">
        <v>5323</v>
      </c>
      <c r="F81" s="5">
        <v>4242</v>
      </c>
      <c r="G81" s="5">
        <v>445</v>
      </c>
      <c r="H81" s="5">
        <v>158</v>
      </c>
      <c r="I81" s="6">
        <v>44</v>
      </c>
      <c r="J81" s="6">
        <v>60.4</v>
      </c>
      <c r="K81" s="6">
        <v>127</v>
      </c>
      <c r="L81" s="7" t="s">
        <v>24</v>
      </c>
      <c r="M81" s="8" t="s">
        <v>232</v>
      </c>
      <c r="N81" s="9">
        <v>2</v>
      </c>
      <c r="O81" s="9">
        <v>45</v>
      </c>
      <c r="P81" s="9">
        <v>259.3</v>
      </c>
      <c r="Q81" s="10">
        <f t="shared" si="8"/>
        <v>382</v>
      </c>
      <c r="R81" s="10">
        <v>58</v>
      </c>
      <c r="S81" s="10">
        <v>222</v>
      </c>
      <c r="T81" s="10">
        <v>102</v>
      </c>
      <c r="U81" s="10">
        <v>2</v>
      </c>
      <c r="V81" s="10" t="s">
        <v>233</v>
      </c>
      <c r="W81" s="10" t="s">
        <v>234</v>
      </c>
      <c r="X81" s="10">
        <v>9</v>
      </c>
    </row>
    <row r="82" spans="1:24" x14ac:dyDescent="0.2">
      <c r="A82" s="2">
        <v>46234</v>
      </c>
      <c r="B82" s="3" t="str">
        <f t="shared" si="6"/>
        <v>P2</v>
      </c>
      <c r="C82" s="4">
        <f t="shared" si="7"/>
        <v>46230</v>
      </c>
      <c r="D82" s="5">
        <v>10736</v>
      </c>
      <c r="E82" s="5">
        <v>7451</v>
      </c>
      <c r="F82" s="5">
        <v>5841</v>
      </c>
      <c r="G82" s="5">
        <v>1051</v>
      </c>
      <c r="H82" s="5">
        <v>187</v>
      </c>
      <c r="I82" s="6">
        <v>42</v>
      </c>
      <c r="J82" s="6">
        <v>64.2</v>
      </c>
      <c r="K82" s="6">
        <v>168</v>
      </c>
      <c r="L82" s="7" t="s">
        <v>24</v>
      </c>
      <c r="M82" s="8" t="s">
        <v>235</v>
      </c>
      <c r="N82" s="9">
        <v>2</v>
      </c>
      <c r="O82" s="9">
        <v>123</v>
      </c>
      <c r="P82" s="9">
        <v>808</v>
      </c>
      <c r="Q82" s="10">
        <f t="shared" si="8"/>
        <v>198</v>
      </c>
      <c r="R82" s="10">
        <v>50</v>
      </c>
      <c r="S82" s="10">
        <v>121</v>
      </c>
      <c r="T82" s="10">
        <v>27</v>
      </c>
      <c r="U82" s="10">
        <v>8</v>
      </c>
      <c r="V82" s="10" t="s">
        <v>236</v>
      </c>
      <c r="W82" s="10" t="s">
        <v>237</v>
      </c>
      <c r="X82" s="10">
        <v>11</v>
      </c>
    </row>
    <row r="83" spans="1:24" x14ac:dyDescent="0.2">
      <c r="A83" s="2">
        <v>46235</v>
      </c>
      <c r="B83" s="3" t="str">
        <f t="shared" si="6"/>
        <v>P2</v>
      </c>
      <c r="C83" s="4">
        <f t="shared" si="7"/>
        <v>46230</v>
      </c>
      <c r="D83" s="5">
        <v>6141</v>
      </c>
      <c r="E83" s="5">
        <v>4108</v>
      </c>
      <c r="F83" s="5">
        <v>3254</v>
      </c>
      <c r="G83" s="5">
        <v>219</v>
      </c>
      <c r="H83" s="5">
        <v>129</v>
      </c>
      <c r="I83" s="6">
        <v>43</v>
      </c>
      <c r="J83" s="6">
        <v>60.7</v>
      </c>
      <c r="K83" s="6">
        <v>114</v>
      </c>
      <c r="L83" s="7" t="s">
        <v>24</v>
      </c>
      <c r="M83" s="8"/>
      <c r="N83" s="9">
        <v>0</v>
      </c>
      <c r="O83" s="9">
        <v>0</v>
      </c>
      <c r="P83" s="9">
        <v>0</v>
      </c>
      <c r="Q83" s="10">
        <f t="shared" si="8"/>
        <v>193</v>
      </c>
      <c r="R83" s="10">
        <v>31</v>
      </c>
      <c r="S83" s="10">
        <v>111</v>
      </c>
      <c r="T83" s="10">
        <v>51</v>
      </c>
      <c r="U83" s="10">
        <v>39</v>
      </c>
      <c r="V83" s="10" t="s">
        <v>238</v>
      </c>
      <c r="W83" s="10" t="s">
        <v>239</v>
      </c>
      <c r="X83" s="10">
        <v>11</v>
      </c>
    </row>
    <row r="84" spans="1:24" x14ac:dyDescent="0.2">
      <c r="A84" s="2">
        <v>46236</v>
      </c>
      <c r="B84" s="3" t="str">
        <f t="shared" si="6"/>
        <v>P2</v>
      </c>
      <c r="C84" s="4">
        <f t="shared" si="7"/>
        <v>46230</v>
      </c>
      <c r="D84" s="5">
        <v>12759</v>
      </c>
      <c r="E84" s="5">
        <v>9820</v>
      </c>
      <c r="F84" s="5">
        <v>7812</v>
      </c>
      <c r="G84" s="5">
        <v>558</v>
      </c>
      <c r="H84" s="5">
        <v>190</v>
      </c>
      <c r="I84" s="6">
        <v>40</v>
      </c>
      <c r="J84" s="6">
        <v>65</v>
      </c>
      <c r="K84" s="6">
        <v>185</v>
      </c>
      <c r="L84" s="7" t="s">
        <v>24</v>
      </c>
      <c r="M84" s="8"/>
      <c r="N84" s="9">
        <v>0</v>
      </c>
      <c r="O84" s="9">
        <v>0</v>
      </c>
      <c r="P84" s="9">
        <v>0</v>
      </c>
      <c r="Q84" s="10">
        <f t="shared" si="8"/>
        <v>304</v>
      </c>
      <c r="R84" s="10">
        <v>83</v>
      </c>
      <c r="S84" s="10">
        <v>145</v>
      </c>
      <c r="T84" s="10">
        <v>76</v>
      </c>
      <c r="U84" s="10">
        <v>4</v>
      </c>
      <c r="V84" s="10" t="s">
        <v>240</v>
      </c>
      <c r="W84" s="10" t="s">
        <v>241</v>
      </c>
      <c r="X84" s="10">
        <v>9</v>
      </c>
    </row>
    <row r="85" spans="1:24" x14ac:dyDescent="0.2">
      <c r="A85" s="2">
        <v>46237</v>
      </c>
      <c r="B85" s="3" t="str">
        <f t="shared" si="6"/>
        <v>P2</v>
      </c>
      <c r="C85" s="4">
        <f t="shared" si="7"/>
        <v>46237</v>
      </c>
      <c r="D85" s="5">
        <v>4789</v>
      </c>
      <c r="E85" s="5">
        <v>3206</v>
      </c>
      <c r="F85" s="5">
        <v>2626</v>
      </c>
      <c r="G85" s="5">
        <v>174</v>
      </c>
      <c r="H85" s="5">
        <v>329</v>
      </c>
      <c r="I85" s="6">
        <v>41</v>
      </c>
      <c r="J85" s="6">
        <v>64.2</v>
      </c>
      <c r="K85" s="6">
        <v>122</v>
      </c>
      <c r="L85" s="7" t="s">
        <v>24</v>
      </c>
      <c r="M85" s="8"/>
      <c r="N85" s="9">
        <v>0</v>
      </c>
      <c r="O85" s="9">
        <v>0</v>
      </c>
      <c r="P85" s="9">
        <v>0</v>
      </c>
      <c r="Q85" s="10">
        <f t="shared" si="8"/>
        <v>326</v>
      </c>
      <c r="R85" s="10">
        <v>89</v>
      </c>
      <c r="S85" s="10">
        <v>177</v>
      </c>
      <c r="T85" s="10">
        <v>60</v>
      </c>
      <c r="U85" s="10">
        <v>8</v>
      </c>
      <c r="V85" s="10" t="s">
        <v>242</v>
      </c>
      <c r="W85" s="10" t="s">
        <v>243</v>
      </c>
      <c r="X85" s="10">
        <v>15</v>
      </c>
    </row>
    <row r="86" spans="1:24" x14ac:dyDescent="0.2">
      <c r="A86" s="2">
        <v>46238</v>
      </c>
      <c r="B86" s="3" t="str">
        <f t="shared" si="6"/>
        <v>P2</v>
      </c>
      <c r="C86" s="4">
        <f t="shared" si="7"/>
        <v>46237</v>
      </c>
      <c r="D86" s="5">
        <v>434</v>
      </c>
      <c r="E86" s="5">
        <v>283</v>
      </c>
      <c r="F86" s="5">
        <v>231</v>
      </c>
      <c r="G86" s="5">
        <v>40</v>
      </c>
      <c r="H86" s="5">
        <v>19</v>
      </c>
      <c r="I86" s="6">
        <v>40</v>
      </c>
      <c r="J86" s="6">
        <v>70.099999999999994</v>
      </c>
      <c r="K86" s="6">
        <v>110</v>
      </c>
      <c r="L86" s="7" t="s">
        <v>24</v>
      </c>
      <c r="M86" s="8"/>
      <c r="N86" s="9">
        <v>0</v>
      </c>
      <c r="O86" s="9">
        <v>0</v>
      </c>
      <c r="P86" s="9">
        <v>0</v>
      </c>
      <c r="Q86" s="10">
        <f t="shared" si="8"/>
        <v>156</v>
      </c>
      <c r="R86" s="10">
        <v>27</v>
      </c>
      <c r="S86" s="10">
        <v>95</v>
      </c>
      <c r="T86" s="10">
        <v>34</v>
      </c>
      <c r="U86" s="10">
        <v>23</v>
      </c>
      <c r="V86" s="10" t="s">
        <v>244</v>
      </c>
      <c r="W86" s="10" t="s">
        <v>245</v>
      </c>
      <c r="X86" s="10">
        <v>9</v>
      </c>
    </row>
    <row r="87" spans="1:24" x14ac:dyDescent="0.2">
      <c r="A87" s="2">
        <v>46239</v>
      </c>
      <c r="B87" s="3" t="str">
        <f t="shared" si="6"/>
        <v>P2</v>
      </c>
      <c r="C87" s="4">
        <f t="shared" si="7"/>
        <v>46237</v>
      </c>
      <c r="D87" s="5">
        <v>5798</v>
      </c>
      <c r="E87" s="5">
        <v>4268</v>
      </c>
      <c r="F87" s="5">
        <v>3190</v>
      </c>
      <c r="G87" s="5">
        <v>178</v>
      </c>
      <c r="H87" s="5">
        <v>53</v>
      </c>
      <c r="I87" s="6">
        <v>40</v>
      </c>
      <c r="J87" s="6">
        <v>55.6</v>
      </c>
      <c r="K87" s="6">
        <v>107</v>
      </c>
      <c r="L87" s="7" t="s">
        <v>24</v>
      </c>
      <c r="M87" s="8"/>
      <c r="N87" s="9">
        <v>0</v>
      </c>
      <c r="O87" s="9">
        <v>0</v>
      </c>
      <c r="P87" s="9">
        <v>0</v>
      </c>
      <c r="Q87" s="10">
        <f t="shared" si="8"/>
        <v>608</v>
      </c>
      <c r="R87" s="10">
        <v>91</v>
      </c>
      <c r="S87" s="10">
        <v>387</v>
      </c>
      <c r="T87" s="10">
        <v>130</v>
      </c>
      <c r="U87" s="10">
        <v>5</v>
      </c>
      <c r="V87" s="10" t="s">
        <v>246</v>
      </c>
      <c r="W87" s="10" t="s">
        <v>247</v>
      </c>
      <c r="X87" s="10">
        <v>17</v>
      </c>
    </row>
    <row r="88" spans="1:24" x14ac:dyDescent="0.2">
      <c r="A88" s="2">
        <v>46240</v>
      </c>
      <c r="B88" s="3" t="str">
        <f t="shared" si="6"/>
        <v>P2</v>
      </c>
      <c r="C88" s="4">
        <f t="shared" si="7"/>
        <v>46237</v>
      </c>
      <c r="D88" s="5">
        <v>5018</v>
      </c>
      <c r="E88" s="5">
        <v>3337</v>
      </c>
      <c r="F88" s="5">
        <v>2758</v>
      </c>
      <c r="G88" s="5">
        <v>283</v>
      </c>
      <c r="H88" s="5">
        <v>147</v>
      </c>
      <c r="I88" s="6">
        <v>40</v>
      </c>
      <c r="J88" s="6">
        <v>57.6</v>
      </c>
      <c r="K88" s="6">
        <v>106</v>
      </c>
      <c r="L88" s="7" t="s">
        <v>24</v>
      </c>
      <c r="M88" s="8" t="s">
        <v>248</v>
      </c>
      <c r="N88" s="9">
        <v>1</v>
      </c>
      <c r="O88" s="9">
        <v>40.799999999999997</v>
      </c>
      <c r="P88" s="9">
        <v>116</v>
      </c>
      <c r="Q88" s="10">
        <f t="shared" si="8"/>
        <v>339</v>
      </c>
      <c r="R88" s="10">
        <v>71</v>
      </c>
      <c r="S88" s="10">
        <v>196</v>
      </c>
      <c r="T88" s="10">
        <v>72</v>
      </c>
      <c r="U88" s="10">
        <v>5</v>
      </c>
      <c r="V88" s="10" t="s">
        <v>249</v>
      </c>
      <c r="W88" s="10" t="s">
        <v>250</v>
      </c>
      <c r="X88" s="10">
        <v>7</v>
      </c>
    </row>
    <row r="89" spans="1:24" x14ac:dyDescent="0.2">
      <c r="A89" s="2">
        <v>46241</v>
      </c>
      <c r="B89" s="3" t="str">
        <f t="shared" si="6"/>
        <v>P2</v>
      </c>
      <c r="C89" s="4">
        <f t="shared" si="7"/>
        <v>46237</v>
      </c>
      <c r="D89" s="5">
        <v>9180</v>
      </c>
      <c r="E89" s="5">
        <v>6379</v>
      </c>
      <c r="F89" s="5">
        <v>4984</v>
      </c>
      <c r="G89" s="5">
        <v>751</v>
      </c>
      <c r="H89" s="5">
        <v>139</v>
      </c>
      <c r="I89" s="6">
        <v>40</v>
      </c>
      <c r="J89" s="6">
        <v>62</v>
      </c>
      <c r="K89" s="6">
        <v>164</v>
      </c>
      <c r="L89" s="7" t="s">
        <v>24</v>
      </c>
      <c r="M89" s="8" t="s">
        <v>251</v>
      </c>
      <c r="N89" s="9">
        <v>1</v>
      </c>
      <c r="O89" s="9">
        <v>50.8</v>
      </c>
      <c r="P89" s="9">
        <v>547</v>
      </c>
      <c r="Q89" s="10">
        <f t="shared" si="8"/>
        <v>411</v>
      </c>
      <c r="R89" s="10">
        <v>68</v>
      </c>
      <c r="S89" s="10">
        <v>242</v>
      </c>
      <c r="T89" s="10">
        <v>101</v>
      </c>
      <c r="U89" s="10">
        <v>5</v>
      </c>
      <c r="V89" s="10" t="s">
        <v>252</v>
      </c>
      <c r="W89" s="10" t="s">
        <v>253</v>
      </c>
      <c r="X89" s="10">
        <v>0</v>
      </c>
    </row>
    <row r="90" spans="1:24" x14ac:dyDescent="0.2">
      <c r="A90" s="2">
        <v>46242</v>
      </c>
      <c r="B90" s="3" t="str">
        <f t="shared" si="6"/>
        <v>P2</v>
      </c>
      <c r="C90" s="4">
        <f t="shared" si="7"/>
        <v>46237</v>
      </c>
      <c r="D90" s="5">
        <v>16043</v>
      </c>
      <c r="E90" s="5">
        <v>11807</v>
      </c>
      <c r="F90" s="5">
        <v>9056</v>
      </c>
      <c r="G90" s="5">
        <v>1582</v>
      </c>
      <c r="H90" s="5">
        <v>277</v>
      </c>
      <c r="I90" s="6">
        <v>42</v>
      </c>
      <c r="J90" s="6">
        <v>67.599999999999994</v>
      </c>
      <c r="K90" s="6">
        <v>164</v>
      </c>
      <c r="L90" s="7" t="s">
        <v>24</v>
      </c>
      <c r="M90" s="8" t="s">
        <v>254</v>
      </c>
      <c r="N90" s="9">
        <v>2</v>
      </c>
      <c r="O90" s="9">
        <v>153.19999999999999</v>
      </c>
      <c r="P90" s="9">
        <v>1314.6</v>
      </c>
      <c r="Q90" s="10">
        <f t="shared" si="8"/>
        <v>278</v>
      </c>
      <c r="R90" s="10">
        <v>53</v>
      </c>
      <c r="S90" s="10">
        <v>161</v>
      </c>
      <c r="T90" s="10">
        <v>64</v>
      </c>
      <c r="U90" s="10">
        <v>6</v>
      </c>
      <c r="V90" s="10" t="s">
        <v>255</v>
      </c>
      <c r="W90" s="10" t="s">
        <v>256</v>
      </c>
      <c r="X90" s="10">
        <v>13</v>
      </c>
    </row>
    <row r="91" spans="1:24" x14ac:dyDescent="0.2">
      <c r="A91" s="2">
        <v>46243</v>
      </c>
      <c r="B91" s="3" t="str">
        <f t="shared" si="6"/>
        <v>P2</v>
      </c>
      <c r="C91" s="4">
        <f t="shared" si="7"/>
        <v>46237</v>
      </c>
      <c r="D91" s="5">
        <v>7391</v>
      </c>
      <c r="E91" s="5">
        <v>5141</v>
      </c>
      <c r="F91" s="5">
        <v>4143</v>
      </c>
      <c r="G91" s="5">
        <v>1774</v>
      </c>
      <c r="H91" s="5">
        <v>333</v>
      </c>
      <c r="I91" s="6">
        <v>41</v>
      </c>
      <c r="J91" s="6">
        <v>70.400000000000006</v>
      </c>
      <c r="K91" s="6">
        <v>180</v>
      </c>
      <c r="L91" s="7" t="s">
        <v>24</v>
      </c>
      <c r="M91" s="8" t="s">
        <v>257</v>
      </c>
      <c r="N91" s="9">
        <v>3</v>
      </c>
      <c r="O91" s="9">
        <v>98.4</v>
      </c>
      <c r="P91" s="9">
        <v>745.7</v>
      </c>
      <c r="Q91" s="10">
        <f t="shared" si="8"/>
        <v>375</v>
      </c>
      <c r="R91" s="10">
        <v>70</v>
      </c>
      <c r="S91" s="10">
        <v>237</v>
      </c>
      <c r="T91" s="10">
        <v>68</v>
      </c>
      <c r="U91" s="10">
        <v>5</v>
      </c>
      <c r="V91" s="10" t="s">
        <v>258</v>
      </c>
      <c r="W91" s="10" t="s">
        <v>259</v>
      </c>
      <c r="X91" s="10">
        <v>7</v>
      </c>
    </row>
    <row r="92" spans="1:24" x14ac:dyDescent="0.2">
      <c r="A92" s="2">
        <v>46244</v>
      </c>
      <c r="B92" s="3" t="str">
        <f t="shared" si="6"/>
        <v>P2</v>
      </c>
      <c r="C92" s="4">
        <f t="shared" si="7"/>
        <v>46244</v>
      </c>
      <c r="D92" s="5">
        <v>6160</v>
      </c>
      <c r="E92" s="5">
        <v>4073</v>
      </c>
      <c r="F92" s="5">
        <v>3340</v>
      </c>
      <c r="G92" s="5">
        <v>332</v>
      </c>
      <c r="H92" s="5">
        <v>274</v>
      </c>
      <c r="I92" s="6">
        <v>42</v>
      </c>
      <c r="J92" s="6">
        <v>59.4</v>
      </c>
      <c r="K92" s="6">
        <v>111</v>
      </c>
      <c r="L92" s="7" t="s">
        <v>24</v>
      </c>
      <c r="M92" s="8" t="s">
        <v>260</v>
      </c>
      <c r="N92" s="9">
        <v>1</v>
      </c>
      <c r="O92" s="9">
        <v>42.5</v>
      </c>
      <c r="P92" s="9">
        <v>102</v>
      </c>
      <c r="Q92" s="10">
        <f t="shared" si="8"/>
        <v>293</v>
      </c>
      <c r="R92" s="10">
        <v>46</v>
      </c>
      <c r="S92" s="10">
        <v>167</v>
      </c>
      <c r="T92" s="10">
        <v>80</v>
      </c>
      <c r="U92" s="10">
        <v>9</v>
      </c>
      <c r="V92" s="10" t="s">
        <v>261</v>
      </c>
      <c r="W92" s="10" t="s">
        <v>262</v>
      </c>
      <c r="X92" s="10">
        <v>7</v>
      </c>
    </row>
    <row r="93" spans="1:24" x14ac:dyDescent="0.2">
      <c r="A93" s="2">
        <v>46245</v>
      </c>
      <c r="B93" s="3" t="str">
        <f t="shared" si="6"/>
        <v>P2</v>
      </c>
      <c r="C93" s="4">
        <f t="shared" si="7"/>
        <v>46244</v>
      </c>
      <c r="D93" s="5">
        <v>4882</v>
      </c>
      <c r="E93" s="5">
        <v>3320</v>
      </c>
      <c r="F93" s="5">
        <v>2728</v>
      </c>
      <c r="G93" s="5">
        <v>342</v>
      </c>
      <c r="H93" s="5">
        <v>143</v>
      </c>
      <c r="I93" s="6">
        <v>41</v>
      </c>
      <c r="J93" s="6">
        <v>56.4</v>
      </c>
      <c r="K93" s="6">
        <v>130</v>
      </c>
      <c r="L93" s="7" t="s">
        <v>24</v>
      </c>
      <c r="M93" s="8" t="s">
        <v>157</v>
      </c>
      <c r="N93" s="9">
        <v>1</v>
      </c>
      <c r="O93" s="9">
        <v>47.5</v>
      </c>
      <c r="P93" s="9">
        <v>163</v>
      </c>
      <c r="Q93" s="10">
        <f t="shared" si="8"/>
        <v>361</v>
      </c>
      <c r="R93" s="10">
        <v>65</v>
      </c>
      <c r="S93" s="10">
        <v>213</v>
      </c>
      <c r="T93" s="10">
        <v>83</v>
      </c>
      <c r="U93" s="10">
        <v>8</v>
      </c>
      <c r="V93" s="10" t="s">
        <v>263</v>
      </c>
      <c r="W93" s="10" t="s">
        <v>264</v>
      </c>
      <c r="X93" s="10">
        <v>7</v>
      </c>
    </row>
    <row r="94" spans="1:24" x14ac:dyDescent="0.2">
      <c r="A94" s="2">
        <v>46246</v>
      </c>
      <c r="B94" s="3" t="str">
        <f t="shared" si="6"/>
        <v>P2</v>
      </c>
      <c r="C94" s="4">
        <f t="shared" si="7"/>
        <v>46244</v>
      </c>
      <c r="D94" s="5">
        <v>12676</v>
      </c>
      <c r="E94" s="5">
        <v>9624</v>
      </c>
      <c r="F94" s="5">
        <v>7692</v>
      </c>
      <c r="G94" s="5">
        <v>1288</v>
      </c>
      <c r="H94" s="5">
        <v>200</v>
      </c>
      <c r="I94" s="6">
        <v>40</v>
      </c>
      <c r="J94" s="6">
        <v>65.400000000000006</v>
      </c>
      <c r="K94" s="6">
        <v>176</v>
      </c>
      <c r="L94" s="7" t="s">
        <v>24</v>
      </c>
      <c r="M94" s="8" t="s">
        <v>265</v>
      </c>
      <c r="N94" s="9">
        <v>2</v>
      </c>
      <c r="O94" s="9">
        <v>101.3</v>
      </c>
      <c r="P94" s="9">
        <v>958.2</v>
      </c>
      <c r="Q94" s="10">
        <f t="shared" si="8"/>
        <v>357</v>
      </c>
      <c r="R94" s="10">
        <v>72</v>
      </c>
      <c r="S94" s="10">
        <v>213</v>
      </c>
      <c r="T94" s="10">
        <v>72</v>
      </c>
      <c r="U94" s="10">
        <v>8</v>
      </c>
      <c r="V94" s="10" t="s">
        <v>266</v>
      </c>
      <c r="W94" s="10" t="s">
        <v>267</v>
      </c>
      <c r="X94" s="10">
        <v>1</v>
      </c>
    </row>
    <row r="95" spans="1:24" x14ac:dyDescent="0.2">
      <c r="A95" s="2">
        <v>46247</v>
      </c>
      <c r="B95" s="3" t="str">
        <f t="shared" si="6"/>
        <v>P2</v>
      </c>
      <c r="C95" s="4">
        <f t="shared" si="7"/>
        <v>46244</v>
      </c>
      <c r="D95" s="5">
        <v>4764</v>
      </c>
      <c r="E95" s="5">
        <v>3165</v>
      </c>
      <c r="F95" s="5">
        <v>2596</v>
      </c>
      <c r="G95" s="5">
        <v>364</v>
      </c>
      <c r="H95" s="5">
        <v>149</v>
      </c>
      <c r="I95" s="6">
        <v>41</v>
      </c>
      <c r="J95" s="6">
        <v>55.2</v>
      </c>
      <c r="K95" s="6">
        <v>109</v>
      </c>
      <c r="L95" s="7" t="s">
        <v>24</v>
      </c>
      <c r="M95" s="8" t="s">
        <v>268</v>
      </c>
      <c r="N95" s="9">
        <v>1</v>
      </c>
      <c r="O95" s="9">
        <v>62.4</v>
      </c>
      <c r="P95" s="9">
        <v>219</v>
      </c>
      <c r="Q95" s="10">
        <f t="shared" si="8"/>
        <v>401</v>
      </c>
      <c r="R95" s="10">
        <v>71</v>
      </c>
      <c r="S95" s="10">
        <v>259</v>
      </c>
      <c r="T95" s="10">
        <v>71</v>
      </c>
      <c r="U95" s="10">
        <v>13</v>
      </c>
      <c r="V95" s="10" t="s">
        <v>269</v>
      </c>
      <c r="W95" s="10" t="s">
        <v>270</v>
      </c>
      <c r="X95" s="10">
        <v>11</v>
      </c>
    </row>
    <row r="96" spans="1:24" x14ac:dyDescent="0.2">
      <c r="A96" s="2">
        <v>46248</v>
      </c>
      <c r="B96" s="3" t="str">
        <f t="shared" si="6"/>
        <v>P2</v>
      </c>
      <c r="C96" s="4">
        <f t="shared" si="7"/>
        <v>46244</v>
      </c>
      <c r="D96" s="5">
        <v>10768</v>
      </c>
      <c r="E96" s="5">
        <v>7378</v>
      </c>
      <c r="F96" s="5">
        <v>5799</v>
      </c>
      <c r="G96" s="5">
        <v>1382</v>
      </c>
      <c r="H96" s="5">
        <v>234</v>
      </c>
      <c r="I96" s="6">
        <v>40</v>
      </c>
      <c r="J96" s="6">
        <v>69.099999999999994</v>
      </c>
      <c r="K96" s="6">
        <v>168</v>
      </c>
      <c r="L96" s="7" t="s">
        <v>24</v>
      </c>
      <c r="M96" s="8" t="s">
        <v>271</v>
      </c>
      <c r="N96" s="9">
        <v>2</v>
      </c>
      <c r="O96" s="9">
        <v>147.30000000000001</v>
      </c>
      <c r="P96" s="9">
        <v>1179</v>
      </c>
      <c r="Q96" s="10">
        <f t="shared" si="8"/>
        <v>358</v>
      </c>
      <c r="R96" s="10">
        <v>42</v>
      </c>
      <c r="S96" s="10">
        <v>209</v>
      </c>
      <c r="T96" s="10">
        <v>107</v>
      </c>
      <c r="U96" s="10">
        <v>5</v>
      </c>
      <c r="V96" s="10" t="s">
        <v>272</v>
      </c>
      <c r="W96" s="10" t="s">
        <v>273</v>
      </c>
      <c r="X96" s="10">
        <v>0</v>
      </c>
    </row>
    <row r="97" spans="1:24" x14ac:dyDescent="0.2">
      <c r="A97" s="2">
        <v>46249</v>
      </c>
      <c r="B97" s="3" t="str">
        <f t="shared" si="6"/>
        <v>P2</v>
      </c>
      <c r="C97" s="4">
        <f t="shared" si="7"/>
        <v>46244</v>
      </c>
      <c r="D97" s="5">
        <v>1072</v>
      </c>
      <c r="E97" s="5">
        <v>700</v>
      </c>
      <c r="F97" s="5">
        <v>542</v>
      </c>
      <c r="G97" s="5">
        <v>59</v>
      </c>
      <c r="H97" s="5">
        <v>71</v>
      </c>
      <c r="I97" s="6">
        <v>47</v>
      </c>
      <c r="J97" s="6">
        <v>61.7</v>
      </c>
      <c r="K97" s="6">
        <v>102</v>
      </c>
      <c r="L97" s="7" t="s">
        <v>24</v>
      </c>
      <c r="M97" s="8"/>
      <c r="N97" s="9">
        <v>0</v>
      </c>
      <c r="O97" s="9">
        <v>0</v>
      </c>
      <c r="P97" s="9">
        <v>0</v>
      </c>
      <c r="Q97" s="10">
        <f t="shared" si="8"/>
        <v>573</v>
      </c>
      <c r="R97" s="10">
        <v>60</v>
      </c>
      <c r="S97" s="10">
        <v>417</v>
      </c>
      <c r="T97" s="10">
        <v>96</v>
      </c>
      <c r="U97" s="10">
        <v>38</v>
      </c>
      <c r="V97" s="10" t="s">
        <v>274</v>
      </c>
      <c r="W97" s="10" t="s">
        <v>275</v>
      </c>
      <c r="X97" s="10">
        <v>13</v>
      </c>
    </row>
    <row r="98" spans="1:24" x14ac:dyDescent="0.2">
      <c r="A98" s="2">
        <v>46250</v>
      </c>
      <c r="B98" s="3" t="str">
        <f t="shared" ref="B98:B129" si="9">IF(A98&lt;=DATE(2026,7,20),"P1","P2")</f>
        <v>P2</v>
      </c>
      <c r="C98" s="4">
        <f t="shared" ref="C98:C129" si="10">A98-WEEKDAY(A98,3)</f>
        <v>46244</v>
      </c>
      <c r="D98" s="5">
        <v>5390</v>
      </c>
      <c r="E98" s="5">
        <v>3835</v>
      </c>
      <c r="F98" s="5">
        <v>2984</v>
      </c>
      <c r="G98" s="5">
        <v>188</v>
      </c>
      <c r="H98" s="5">
        <v>124</v>
      </c>
      <c r="I98" s="6">
        <v>49</v>
      </c>
      <c r="J98" s="6">
        <v>65.5</v>
      </c>
      <c r="K98" s="6">
        <v>104</v>
      </c>
      <c r="L98" s="7" t="s">
        <v>24</v>
      </c>
      <c r="M98" s="8"/>
      <c r="N98" s="9">
        <v>0</v>
      </c>
      <c r="O98" s="9">
        <v>0</v>
      </c>
      <c r="P98" s="9">
        <v>0</v>
      </c>
      <c r="Q98" s="10">
        <f t="shared" ref="Q98:Q129" si="11">IF(COUNT(R98:T98)=3,R98+S98+T98,"")</f>
        <v>353</v>
      </c>
      <c r="R98" s="10">
        <v>41</v>
      </c>
      <c r="S98" s="10">
        <v>218</v>
      </c>
      <c r="T98" s="10">
        <v>94</v>
      </c>
      <c r="U98" s="10">
        <v>10</v>
      </c>
      <c r="V98" s="10" t="s">
        <v>276</v>
      </c>
      <c r="W98" s="10" t="s">
        <v>277</v>
      </c>
      <c r="X98" s="10">
        <v>0</v>
      </c>
    </row>
    <row r="99" spans="1:24" x14ac:dyDescent="0.2">
      <c r="A99" s="2">
        <v>46251</v>
      </c>
      <c r="B99" s="3" t="str">
        <f t="shared" si="9"/>
        <v>P2</v>
      </c>
      <c r="C99" s="4">
        <f t="shared" si="10"/>
        <v>46251</v>
      </c>
      <c r="D99" s="5">
        <v>5971</v>
      </c>
      <c r="E99" s="5">
        <v>3958</v>
      </c>
      <c r="F99" s="5">
        <v>3270</v>
      </c>
      <c r="G99" s="5">
        <v>743</v>
      </c>
      <c r="H99" s="5">
        <v>191</v>
      </c>
      <c r="I99" s="6">
        <v>47</v>
      </c>
      <c r="J99" s="6">
        <v>65.400000000000006</v>
      </c>
      <c r="K99" s="6">
        <v>135</v>
      </c>
      <c r="L99" s="7" t="s">
        <v>24</v>
      </c>
      <c r="M99" s="8" t="s">
        <v>278</v>
      </c>
      <c r="N99" s="9">
        <v>2</v>
      </c>
      <c r="O99" s="9">
        <v>102.6</v>
      </c>
      <c r="P99" s="9">
        <v>583</v>
      </c>
      <c r="Q99" s="10">
        <f t="shared" si="11"/>
        <v>398</v>
      </c>
      <c r="R99" s="10">
        <v>83</v>
      </c>
      <c r="S99" s="10">
        <v>231</v>
      </c>
      <c r="T99" s="10">
        <v>84</v>
      </c>
      <c r="U99" s="10">
        <v>2</v>
      </c>
      <c r="V99" s="10" t="s">
        <v>279</v>
      </c>
      <c r="W99" s="10" t="s">
        <v>280</v>
      </c>
      <c r="X99" s="10">
        <v>13</v>
      </c>
    </row>
    <row r="100" spans="1:24" x14ac:dyDescent="0.2">
      <c r="A100" s="2">
        <v>46252</v>
      </c>
      <c r="B100" s="3" t="str">
        <f t="shared" si="9"/>
        <v>P2</v>
      </c>
      <c r="C100" s="4">
        <f t="shared" si="10"/>
        <v>46251</v>
      </c>
      <c r="D100" s="5">
        <v>9449</v>
      </c>
      <c r="E100" s="5">
        <v>6690</v>
      </c>
      <c r="F100" s="5">
        <v>5200</v>
      </c>
      <c r="G100" s="5">
        <v>321</v>
      </c>
      <c r="H100" s="5">
        <v>178</v>
      </c>
      <c r="I100" s="6">
        <v>42</v>
      </c>
      <c r="J100" s="6">
        <v>63.3</v>
      </c>
      <c r="K100" s="6">
        <v>114</v>
      </c>
      <c r="L100" s="7" t="s">
        <v>24</v>
      </c>
      <c r="M100" s="8"/>
      <c r="N100" s="9">
        <v>0</v>
      </c>
      <c r="O100" s="9">
        <v>0</v>
      </c>
      <c r="P100" s="9">
        <v>0</v>
      </c>
      <c r="Q100" s="10">
        <f t="shared" si="11"/>
        <v>302</v>
      </c>
      <c r="R100" s="10">
        <v>31</v>
      </c>
      <c r="S100" s="10">
        <v>215</v>
      </c>
      <c r="T100" s="10">
        <v>56</v>
      </c>
      <c r="U100" s="10">
        <v>15</v>
      </c>
      <c r="V100" s="10" t="s">
        <v>281</v>
      </c>
      <c r="W100" s="10" t="s">
        <v>282</v>
      </c>
      <c r="X100" s="10">
        <v>13</v>
      </c>
    </row>
    <row r="101" spans="1:24" x14ac:dyDescent="0.2">
      <c r="A101" s="2">
        <v>46253</v>
      </c>
      <c r="B101" s="3" t="str">
        <f t="shared" si="9"/>
        <v>P2</v>
      </c>
      <c r="C101" s="4">
        <f t="shared" si="10"/>
        <v>46251</v>
      </c>
      <c r="D101" s="5">
        <v>11936</v>
      </c>
      <c r="E101" s="5">
        <v>9057</v>
      </c>
      <c r="F101" s="5">
        <v>6914</v>
      </c>
      <c r="G101" s="5">
        <v>1396</v>
      </c>
      <c r="H101" s="5">
        <v>201</v>
      </c>
      <c r="I101" s="6">
        <v>42</v>
      </c>
      <c r="J101" s="6">
        <v>69.400000000000006</v>
      </c>
      <c r="K101" s="6">
        <v>173</v>
      </c>
      <c r="L101" s="7" t="s">
        <v>24</v>
      </c>
      <c r="M101" s="8" t="s">
        <v>283</v>
      </c>
      <c r="N101" s="9">
        <v>2</v>
      </c>
      <c r="O101" s="9">
        <v>86.2</v>
      </c>
      <c r="P101" s="9">
        <v>646</v>
      </c>
      <c r="Q101" s="10">
        <f t="shared" si="11"/>
        <v>401</v>
      </c>
      <c r="R101" s="10">
        <v>84</v>
      </c>
      <c r="S101" s="10">
        <v>251</v>
      </c>
      <c r="T101" s="10">
        <v>66</v>
      </c>
      <c r="U101" s="10">
        <v>12</v>
      </c>
      <c r="V101" s="10" t="s">
        <v>284</v>
      </c>
      <c r="W101" s="10" t="s">
        <v>285</v>
      </c>
      <c r="X101" s="10">
        <v>0</v>
      </c>
    </row>
    <row r="102" spans="1:24" x14ac:dyDescent="0.2">
      <c r="A102" s="2">
        <v>46254</v>
      </c>
      <c r="B102" s="3" t="str">
        <f t="shared" si="9"/>
        <v>P2</v>
      </c>
      <c r="C102" s="4">
        <f t="shared" si="10"/>
        <v>46251</v>
      </c>
      <c r="D102" s="5">
        <v>9978</v>
      </c>
      <c r="E102" s="5">
        <v>6925</v>
      </c>
      <c r="F102" s="5">
        <v>5369</v>
      </c>
      <c r="G102" s="5">
        <v>1080</v>
      </c>
      <c r="H102" s="5">
        <v>150</v>
      </c>
      <c r="I102" s="6">
        <v>47</v>
      </c>
      <c r="J102" s="6">
        <v>69.5</v>
      </c>
      <c r="K102" s="6">
        <v>170</v>
      </c>
      <c r="L102" s="7" t="s">
        <v>24</v>
      </c>
      <c r="M102" s="8" t="s">
        <v>286</v>
      </c>
      <c r="N102" s="9">
        <v>1</v>
      </c>
      <c r="O102" s="9">
        <v>103.1</v>
      </c>
      <c r="P102" s="9">
        <v>942</v>
      </c>
      <c r="Q102" s="10">
        <f t="shared" si="11"/>
        <v>409</v>
      </c>
      <c r="R102" s="10">
        <v>33</v>
      </c>
      <c r="S102" s="10">
        <v>257</v>
      </c>
      <c r="T102" s="10">
        <v>119</v>
      </c>
      <c r="U102" s="10">
        <v>13</v>
      </c>
      <c r="V102" s="10" t="s">
        <v>287</v>
      </c>
      <c r="W102" s="10" t="s">
        <v>288</v>
      </c>
      <c r="X102" s="10">
        <v>3</v>
      </c>
    </row>
    <row r="103" spans="1:24" x14ac:dyDescent="0.2">
      <c r="A103" s="2">
        <v>46255</v>
      </c>
      <c r="B103" s="3" t="str">
        <f t="shared" si="9"/>
        <v>P2</v>
      </c>
      <c r="C103" s="4">
        <f t="shared" si="10"/>
        <v>46251</v>
      </c>
      <c r="D103" s="5">
        <v>8107</v>
      </c>
      <c r="E103" s="5">
        <v>5753</v>
      </c>
      <c r="F103" s="5">
        <v>4433</v>
      </c>
      <c r="G103" s="5">
        <v>918</v>
      </c>
      <c r="H103" s="5">
        <v>196</v>
      </c>
      <c r="I103" s="6">
        <v>44</v>
      </c>
      <c r="J103" s="6">
        <v>65.8</v>
      </c>
      <c r="K103" s="6">
        <v>172</v>
      </c>
      <c r="L103" s="7" t="s">
        <v>24</v>
      </c>
      <c r="M103" s="8" t="s">
        <v>289</v>
      </c>
      <c r="N103" s="9">
        <v>1</v>
      </c>
      <c r="O103" s="9">
        <v>77.599999999999994</v>
      </c>
      <c r="P103" s="9">
        <v>787</v>
      </c>
      <c r="Q103" s="10">
        <f t="shared" si="11"/>
        <v>312</v>
      </c>
      <c r="R103" s="10">
        <v>51</v>
      </c>
      <c r="S103" s="10">
        <v>165</v>
      </c>
      <c r="T103" s="10">
        <v>96</v>
      </c>
      <c r="U103" s="10">
        <v>4</v>
      </c>
      <c r="V103" s="10" t="s">
        <v>290</v>
      </c>
      <c r="W103" s="10" t="s">
        <v>291</v>
      </c>
      <c r="X103" s="10">
        <v>7</v>
      </c>
    </row>
    <row r="104" spans="1:24" x14ac:dyDescent="0.2">
      <c r="A104" s="2">
        <v>46256</v>
      </c>
      <c r="B104" s="3" t="str">
        <f t="shared" si="9"/>
        <v>P2</v>
      </c>
      <c r="C104" s="4">
        <f t="shared" si="10"/>
        <v>46251</v>
      </c>
      <c r="D104" s="5">
        <v>7642</v>
      </c>
      <c r="E104" s="5">
        <v>5172</v>
      </c>
      <c r="F104" s="5">
        <v>4360</v>
      </c>
      <c r="G104" s="5">
        <v>590</v>
      </c>
      <c r="H104" s="5">
        <v>183</v>
      </c>
      <c r="I104" s="6">
        <v>40</v>
      </c>
      <c r="J104" s="6">
        <v>71.3</v>
      </c>
      <c r="K104" s="6">
        <v>184</v>
      </c>
      <c r="L104" s="7" t="s">
        <v>24</v>
      </c>
      <c r="M104" s="8" t="s">
        <v>292</v>
      </c>
      <c r="N104" s="9">
        <v>1</v>
      </c>
      <c r="O104" s="9">
        <v>29.4</v>
      </c>
      <c r="P104" s="9">
        <v>290</v>
      </c>
      <c r="Q104" s="10">
        <f t="shared" si="11"/>
        <v>380</v>
      </c>
      <c r="R104" s="10">
        <v>70</v>
      </c>
      <c r="S104" s="10">
        <v>227</v>
      </c>
      <c r="T104" s="10">
        <v>83</v>
      </c>
      <c r="U104" s="10">
        <v>10</v>
      </c>
      <c r="V104" s="10" t="s">
        <v>293</v>
      </c>
      <c r="W104" s="10" t="s">
        <v>294</v>
      </c>
      <c r="X104" s="10">
        <v>0</v>
      </c>
    </row>
    <row r="105" spans="1:24" x14ac:dyDescent="0.2">
      <c r="A105" s="2">
        <v>46257</v>
      </c>
      <c r="B105" s="3" t="str">
        <f t="shared" si="9"/>
        <v>P2</v>
      </c>
      <c r="C105" s="4">
        <f t="shared" si="10"/>
        <v>46251</v>
      </c>
      <c r="D105" s="5">
        <v>15145</v>
      </c>
      <c r="E105" s="5">
        <v>11782</v>
      </c>
      <c r="F105" s="5">
        <v>8995</v>
      </c>
      <c r="G105" s="5">
        <v>777</v>
      </c>
      <c r="H105" s="5">
        <v>166</v>
      </c>
      <c r="I105" s="6">
        <v>45</v>
      </c>
      <c r="J105" s="6">
        <v>65</v>
      </c>
      <c r="K105" s="6">
        <v>163</v>
      </c>
      <c r="L105" s="7" t="s">
        <v>24</v>
      </c>
      <c r="M105" s="8" t="s">
        <v>295</v>
      </c>
      <c r="N105" s="9">
        <v>2</v>
      </c>
      <c r="O105" s="9">
        <v>38.4</v>
      </c>
      <c r="P105" s="9">
        <v>415.3</v>
      </c>
      <c r="Q105" s="10">
        <f t="shared" si="11"/>
        <v>517</v>
      </c>
      <c r="R105" s="10">
        <v>79</v>
      </c>
      <c r="S105" s="10">
        <v>314</v>
      </c>
      <c r="T105" s="10">
        <v>124</v>
      </c>
      <c r="U105" s="10">
        <v>23</v>
      </c>
      <c r="V105" s="10" t="s">
        <v>296</v>
      </c>
      <c r="W105" s="10" t="s">
        <v>297</v>
      </c>
      <c r="X105" s="10">
        <v>1</v>
      </c>
    </row>
    <row r="106" spans="1:24" x14ac:dyDescent="0.2">
      <c r="A106" s="2">
        <v>46258</v>
      </c>
      <c r="B106" s="3" t="str">
        <f t="shared" si="9"/>
        <v>P2</v>
      </c>
      <c r="C106" s="4">
        <f t="shared" si="10"/>
        <v>46258</v>
      </c>
      <c r="D106" s="5">
        <v>4452</v>
      </c>
      <c r="E106" s="5">
        <v>2986</v>
      </c>
      <c r="F106" s="5">
        <v>2421</v>
      </c>
      <c r="G106" s="5">
        <v>309</v>
      </c>
      <c r="H106" s="5">
        <v>106</v>
      </c>
      <c r="I106" s="6">
        <v>43</v>
      </c>
      <c r="J106" s="6">
        <v>59.7</v>
      </c>
      <c r="K106" s="6">
        <v>119</v>
      </c>
      <c r="L106" s="7" t="s">
        <v>24</v>
      </c>
      <c r="M106" s="8" t="s">
        <v>52</v>
      </c>
      <c r="N106" s="9">
        <v>1</v>
      </c>
      <c r="O106" s="9">
        <v>44.4</v>
      </c>
      <c r="P106" s="9">
        <v>140</v>
      </c>
      <c r="Q106" s="10">
        <f t="shared" si="11"/>
        <v>322</v>
      </c>
      <c r="R106" s="10">
        <v>54</v>
      </c>
      <c r="S106" s="10">
        <v>180</v>
      </c>
      <c r="T106" s="10">
        <v>88</v>
      </c>
      <c r="U106" s="10">
        <v>11</v>
      </c>
      <c r="V106" s="10" t="s">
        <v>298</v>
      </c>
      <c r="W106" s="10" t="s">
        <v>299</v>
      </c>
      <c r="X106" s="10">
        <v>11</v>
      </c>
    </row>
    <row r="107" spans="1:24" x14ac:dyDescent="0.2">
      <c r="A107" s="2">
        <v>46259</v>
      </c>
      <c r="B107" s="3" t="str">
        <f t="shared" si="9"/>
        <v>P2</v>
      </c>
      <c r="C107" s="4">
        <f t="shared" si="10"/>
        <v>46258</v>
      </c>
      <c r="D107" s="5">
        <v>13913</v>
      </c>
      <c r="E107" s="5">
        <v>11692</v>
      </c>
      <c r="F107" s="5">
        <v>8863</v>
      </c>
      <c r="G107" s="5">
        <v>1070</v>
      </c>
      <c r="H107" s="5">
        <v>203</v>
      </c>
      <c r="I107" s="6">
        <v>41</v>
      </c>
      <c r="J107" s="6">
        <v>66.5</v>
      </c>
      <c r="K107" s="6">
        <v>175</v>
      </c>
      <c r="L107" s="7" t="s">
        <v>24</v>
      </c>
      <c r="M107" s="8" t="s">
        <v>300</v>
      </c>
      <c r="N107" s="9">
        <v>2</v>
      </c>
      <c r="O107" s="9">
        <v>115.8</v>
      </c>
      <c r="P107" s="9">
        <v>911.3</v>
      </c>
      <c r="Q107" s="10">
        <f t="shared" si="11"/>
        <v>334</v>
      </c>
      <c r="R107" s="10">
        <v>86</v>
      </c>
      <c r="S107" s="10">
        <v>184</v>
      </c>
      <c r="T107" s="10">
        <v>64</v>
      </c>
      <c r="U107" s="10">
        <v>14</v>
      </c>
      <c r="V107" s="10" t="s">
        <v>301</v>
      </c>
      <c r="W107" s="10" t="s">
        <v>302</v>
      </c>
      <c r="X107" s="10">
        <v>3</v>
      </c>
    </row>
    <row r="108" spans="1:24" x14ac:dyDescent="0.2">
      <c r="A108" s="2">
        <v>46260</v>
      </c>
      <c r="B108" s="3" t="str">
        <f t="shared" si="9"/>
        <v>P2</v>
      </c>
      <c r="C108" s="4">
        <f t="shared" si="10"/>
        <v>46258</v>
      </c>
      <c r="D108" s="5">
        <v>6180</v>
      </c>
      <c r="E108" s="5">
        <v>4384</v>
      </c>
      <c r="F108" s="5">
        <v>3326</v>
      </c>
      <c r="G108" s="5">
        <v>754</v>
      </c>
      <c r="H108" s="5">
        <v>87</v>
      </c>
      <c r="I108" s="6">
        <v>40</v>
      </c>
      <c r="J108" s="6">
        <v>62.1</v>
      </c>
      <c r="K108" s="6">
        <v>172</v>
      </c>
      <c r="L108" s="7" t="s">
        <v>24</v>
      </c>
      <c r="M108" s="8" t="s">
        <v>303</v>
      </c>
      <c r="N108" s="9">
        <v>1</v>
      </c>
      <c r="O108" s="9">
        <v>55</v>
      </c>
      <c r="P108" s="9">
        <v>677</v>
      </c>
      <c r="Q108" s="10">
        <f t="shared" si="11"/>
        <v>475</v>
      </c>
      <c r="R108" s="10">
        <v>46</v>
      </c>
      <c r="S108" s="10">
        <v>297</v>
      </c>
      <c r="T108" s="10">
        <v>132</v>
      </c>
      <c r="U108" s="10">
        <v>14</v>
      </c>
      <c r="V108" s="10" t="s">
        <v>304</v>
      </c>
      <c r="W108" s="10" t="s">
        <v>305</v>
      </c>
      <c r="X108" s="10">
        <v>0</v>
      </c>
    </row>
    <row r="109" spans="1:24" x14ac:dyDescent="0.2">
      <c r="A109" s="2">
        <v>46261</v>
      </c>
      <c r="B109" s="3" t="str">
        <f t="shared" si="9"/>
        <v>P2</v>
      </c>
      <c r="C109" s="4">
        <f t="shared" si="10"/>
        <v>46258</v>
      </c>
      <c r="D109" s="5">
        <v>7893</v>
      </c>
      <c r="E109" s="5">
        <v>6049</v>
      </c>
      <c r="F109" s="5">
        <v>5013</v>
      </c>
      <c r="G109" s="5">
        <v>734</v>
      </c>
      <c r="H109" s="5">
        <v>313</v>
      </c>
      <c r="I109" s="6">
        <v>40</v>
      </c>
      <c r="J109" s="6">
        <v>62</v>
      </c>
      <c r="K109" s="6">
        <v>169</v>
      </c>
      <c r="L109" s="7" t="s">
        <v>24</v>
      </c>
      <c r="M109" s="8" t="s">
        <v>306</v>
      </c>
      <c r="N109" s="9">
        <v>2</v>
      </c>
      <c r="O109" s="9">
        <v>110.7</v>
      </c>
      <c r="P109" s="9">
        <v>593</v>
      </c>
      <c r="Q109" s="10">
        <f t="shared" si="11"/>
        <v>333</v>
      </c>
      <c r="R109" s="10">
        <v>44</v>
      </c>
      <c r="S109" s="10">
        <v>212</v>
      </c>
      <c r="T109" s="10">
        <v>77</v>
      </c>
      <c r="U109" s="10">
        <v>8</v>
      </c>
      <c r="V109" s="10" t="s">
        <v>307</v>
      </c>
      <c r="W109" s="10" t="s">
        <v>308</v>
      </c>
      <c r="X109" s="10">
        <v>7</v>
      </c>
    </row>
    <row r="110" spans="1:24" x14ac:dyDescent="0.2">
      <c r="A110" s="2">
        <v>46262</v>
      </c>
      <c r="B110" s="3" t="str">
        <f t="shared" si="9"/>
        <v>P2</v>
      </c>
      <c r="C110" s="4">
        <f t="shared" si="10"/>
        <v>46258</v>
      </c>
      <c r="D110" s="5">
        <v>591</v>
      </c>
      <c r="E110" s="5">
        <v>384</v>
      </c>
      <c r="F110" s="5">
        <v>296</v>
      </c>
      <c r="G110" s="5">
        <v>46</v>
      </c>
      <c r="H110" s="5">
        <v>23</v>
      </c>
      <c r="I110" s="6">
        <v>41</v>
      </c>
      <c r="J110" s="6">
        <v>54.2</v>
      </c>
      <c r="K110" s="6">
        <v>85</v>
      </c>
      <c r="L110" s="7" t="s">
        <v>24</v>
      </c>
      <c r="M110" s="8"/>
      <c r="N110" s="9">
        <v>0</v>
      </c>
      <c r="O110" s="9">
        <v>0</v>
      </c>
      <c r="P110" s="9">
        <v>0</v>
      </c>
      <c r="Q110" s="10">
        <f t="shared" si="11"/>
        <v>482</v>
      </c>
      <c r="R110" s="10">
        <v>66</v>
      </c>
      <c r="S110" s="10">
        <v>310</v>
      </c>
      <c r="T110" s="10">
        <v>106</v>
      </c>
      <c r="U110" s="10">
        <v>21</v>
      </c>
      <c r="V110" s="10" t="s">
        <v>309</v>
      </c>
      <c r="W110" s="10" t="s">
        <v>310</v>
      </c>
      <c r="X110" s="10">
        <v>5</v>
      </c>
    </row>
    <row r="111" spans="1:24" x14ac:dyDescent="0.2">
      <c r="A111" s="2">
        <v>46263</v>
      </c>
      <c r="B111" s="3" t="str">
        <f t="shared" si="9"/>
        <v>P2</v>
      </c>
      <c r="C111" s="4">
        <f t="shared" si="10"/>
        <v>46258</v>
      </c>
      <c r="D111" s="5">
        <v>346</v>
      </c>
      <c r="E111" s="5">
        <v>224</v>
      </c>
      <c r="F111" s="5">
        <v>195</v>
      </c>
      <c r="G111" s="5">
        <v>30</v>
      </c>
      <c r="H111" s="5">
        <v>9</v>
      </c>
      <c r="I111" s="6">
        <v>41</v>
      </c>
      <c r="J111" s="6">
        <v>53.7</v>
      </c>
      <c r="K111" s="6">
        <v>102</v>
      </c>
      <c r="L111" s="7" t="s">
        <v>24</v>
      </c>
      <c r="M111" s="8"/>
      <c r="N111" s="9">
        <v>0</v>
      </c>
      <c r="O111" s="9">
        <v>0</v>
      </c>
      <c r="P111" s="9">
        <v>0</v>
      </c>
      <c r="Q111" s="10">
        <f t="shared" si="11"/>
        <v>488</v>
      </c>
      <c r="R111" s="10">
        <v>49</v>
      </c>
      <c r="S111" s="10">
        <v>317</v>
      </c>
      <c r="T111" s="10">
        <v>122</v>
      </c>
      <c r="U111" s="10">
        <v>10</v>
      </c>
      <c r="V111" s="10" t="s">
        <v>311</v>
      </c>
      <c r="W111" s="10" t="s">
        <v>312</v>
      </c>
      <c r="X111" s="10">
        <v>0</v>
      </c>
    </row>
    <row r="112" spans="1:24" x14ac:dyDescent="0.2">
      <c r="A112" s="2">
        <v>46264</v>
      </c>
      <c r="B112" s="3" t="str">
        <f t="shared" si="9"/>
        <v>P2</v>
      </c>
      <c r="C112" s="4">
        <f t="shared" si="10"/>
        <v>46258</v>
      </c>
      <c r="D112" s="5">
        <v>11086</v>
      </c>
      <c r="E112" s="5">
        <v>8378</v>
      </c>
      <c r="F112" s="5">
        <v>6422</v>
      </c>
      <c r="G112" s="5">
        <v>1157</v>
      </c>
      <c r="H112" s="5">
        <v>164</v>
      </c>
      <c r="I112" s="6">
        <v>41</v>
      </c>
      <c r="J112" s="6">
        <v>67.099999999999994</v>
      </c>
      <c r="K112" s="6">
        <v>172</v>
      </c>
      <c r="L112" s="7" t="s">
        <v>24</v>
      </c>
      <c r="M112" s="8" t="s">
        <v>313</v>
      </c>
      <c r="N112" s="9">
        <v>3</v>
      </c>
      <c r="O112" s="9">
        <v>127.9</v>
      </c>
      <c r="P112" s="9">
        <v>962.6</v>
      </c>
      <c r="Q112" s="10">
        <f t="shared" si="11"/>
        <v>369</v>
      </c>
      <c r="R112" s="10">
        <v>106</v>
      </c>
      <c r="S112" s="10">
        <v>198</v>
      </c>
      <c r="T112" s="10">
        <v>65</v>
      </c>
      <c r="U112" s="10">
        <v>7</v>
      </c>
      <c r="V112" s="10" t="s">
        <v>314</v>
      </c>
      <c r="W112" s="10" t="s">
        <v>315</v>
      </c>
      <c r="X112" s="10">
        <v>8</v>
      </c>
    </row>
    <row r="113" spans="1:24" x14ac:dyDescent="0.2">
      <c r="A113" s="2">
        <v>46265</v>
      </c>
      <c r="B113" s="3" t="str">
        <f t="shared" si="9"/>
        <v>P2</v>
      </c>
      <c r="C113" s="4">
        <f t="shared" si="10"/>
        <v>46265</v>
      </c>
      <c r="D113" s="5">
        <v>4653</v>
      </c>
      <c r="E113" s="5">
        <v>3149</v>
      </c>
      <c r="F113" s="5">
        <v>2500</v>
      </c>
      <c r="G113" s="5">
        <v>187</v>
      </c>
      <c r="H113" s="5">
        <v>117</v>
      </c>
      <c r="I113" s="6">
        <v>42</v>
      </c>
      <c r="J113" s="6">
        <v>59.4</v>
      </c>
      <c r="K113" s="6">
        <v>101</v>
      </c>
      <c r="L113" s="7" t="s">
        <v>24</v>
      </c>
      <c r="M113" s="8"/>
      <c r="N113" s="9">
        <v>0</v>
      </c>
      <c r="O113" s="9">
        <v>0</v>
      </c>
      <c r="P113" s="9">
        <v>0</v>
      </c>
      <c r="Q113" s="10">
        <f t="shared" si="11"/>
        <v>364</v>
      </c>
      <c r="R113" s="10">
        <v>69</v>
      </c>
      <c r="S113" s="10">
        <v>222</v>
      </c>
      <c r="T113" s="10">
        <v>73</v>
      </c>
      <c r="U113" s="10">
        <v>12</v>
      </c>
      <c r="V113" s="10" t="s">
        <v>316</v>
      </c>
      <c r="W113" s="10" t="s">
        <v>317</v>
      </c>
      <c r="X113" s="10">
        <v>3</v>
      </c>
    </row>
    <row r="114" spans="1:24" x14ac:dyDescent="0.2">
      <c r="A114" s="2">
        <v>46266</v>
      </c>
      <c r="B114" s="3" t="str">
        <f t="shared" si="9"/>
        <v>P2</v>
      </c>
      <c r="C114" s="4">
        <f t="shared" si="10"/>
        <v>46265</v>
      </c>
      <c r="D114" s="5">
        <v>3377</v>
      </c>
      <c r="E114" s="5">
        <v>2255</v>
      </c>
      <c r="F114" s="5">
        <v>1882</v>
      </c>
      <c r="G114" s="5">
        <v>156</v>
      </c>
      <c r="H114" s="5">
        <v>42</v>
      </c>
      <c r="I114" s="6">
        <v>43</v>
      </c>
      <c r="J114" s="6">
        <v>58.7</v>
      </c>
      <c r="K114" s="6">
        <v>121</v>
      </c>
      <c r="L114" s="7" t="s">
        <v>24</v>
      </c>
      <c r="M114" s="8"/>
      <c r="N114" s="9">
        <v>0</v>
      </c>
      <c r="O114" s="9">
        <v>0</v>
      </c>
      <c r="P114" s="9">
        <v>0</v>
      </c>
      <c r="Q114" s="10">
        <f t="shared" si="11"/>
        <v>257</v>
      </c>
      <c r="R114" s="10">
        <v>40</v>
      </c>
      <c r="S114" s="10">
        <v>152</v>
      </c>
      <c r="T114" s="10">
        <v>65</v>
      </c>
      <c r="U114" s="10">
        <v>8</v>
      </c>
      <c r="V114" s="10" t="s">
        <v>318</v>
      </c>
      <c r="W114" s="10" t="s">
        <v>319</v>
      </c>
      <c r="X114" s="10">
        <v>9</v>
      </c>
    </row>
    <row r="115" spans="1:24" x14ac:dyDescent="0.2">
      <c r="A115" s="2">
        <v>46267</v>
      </c>
      <c r="B115" s="3" t="str">
        <f t="shared" si="9"/>
        <v>P2</v>
      </c>
      <c r="C115" s="4">
        <f t="shared" si="10"/>
        <v>46265</v>
      </c>
      <c r="D115" s="5">
        <v>7257</v>
      </c>
      <c r="E115" s="5">
        <v>5118</v>
      </c>
      <c r="F115" s="5">
        <v>3928</v>
      </c>
      <c r="G115" s="5">
        <v>726</v>
      </c>
      <c r="H115" s="5">
        <v>104</v>
      </c>
      <c r="I115" s="6">
        <v>41</v>
      </c>
      <c r="J115" s="6">
        <v>60.3</v>
      </c>
      <c r="K115" s="6">
        <v>174</v>
      </c>
      <c r="L115" s="7" t="s">
        <v>24</v>
      </c>
      <c r="M115" s="8" t="s">
        <v>320</v>
      </c>
      <c r="N115" s="9">
        <v>1</v>
      </c>
      <c r="O115" s="9">
        <v>54.4</v>
      </c>
      <c r="P115" s="9">
        <v>588</v>
      </c>
      <c r="Q115" s="10">
        <f t="shared" si="11"/>
        <v>298</v>
      </c>
      <c r="R115" s="10">
        <v>56</v>
      </c>
      <c r="S115" s="10">
        <v>170</v>
      </c>
      <c r="T115" s="10">
        <v>72</v>
      </c>
      <c r="U115" s="10">
        <v>12</v>
      </c>
      <c r="V115" s="10" t="s">
        <v>321</v>
      </c>
      <c r="W115" s="10" t="s">
        <v>322</v>
      </c>
      <c r="X115" s="10">
        <v>9</v>
      </c>
    </row>
    <row r="116" spans="1:24" x14ac:dyDescent="0.2">
      <c r="A116" s="2">
        <v>46268</v>
      </c>
      <c r="B116" s="3" t="str">
        <f t="shared" si="9"/>
        <v>P2</v>
      </c>
      <c r="C116" s="4">
        <f t="shared" si="10"/>
        <v>46265</v>
      </c>
      <c r="D116" s="5">
        <v>8822</v>
      </c>
      <c r="E116" s="5">
        <v>6887</v>
      </c>
      <c r="F116" s="5">
        <v>5458</v>
      </c>
      <c r="G116" s="5">
        <v>767</v>
      </c>
      <c r="H116" s="5">
        <v>188</v>
      </c>
      <c r="I116" s="6">
        <v>40</v>
      </c>
      <c r="J116" s="6">
        <v>61.8</v>
      </c>
      <c r="K116" s="6">
        <v>182</v>
      </c>
      <c r="L116" s="7" t="s">
        <v>24</v>
      </c>
      <c r="M116" s="8" t="s">
        <v>323</v>
      </c>
      <c r="N116" s="9">
        <v>2</v>
      </c>
      <c r="O116" s="9">
        <v>96.5</v>
      </c>
      <c r="P116" s="9">
        <v>595</v>
      </c>
      <c r="Q116" s="10">
        <f t="shared" si="11"/>
        <v>285</v>
      </c>
      <c r="R116" s="10">
        <v>56</v>
      </c>
      <c r="S116" s="10">
        <v>139</v>
      </c>
      <c r="T116" s="10">
        <v>90</v>
      </c>
      <c r="U116" s="10">
        <v>5</v>
      </c>
      <c r="V116" s="10" t="s">
        <v>324</v>
      </c>
      <c r="W116" s="10" t="s">
        <v>325</v>
      </c>
      <c r="X116" s="10">
        <v>9</v>
      </c>
    </row>
    <row r="117" spans="1:24" x14ac:dyDescent="0.2">
      <c r="A117" s="2">
        <v>46269</v>
      </c>
      <c r="B117" s="3" t="str">
        <f t="shared" si="9"/>
        <v>P2</v>
      </c>
      <c r="C117" s="4">
        <f t="shared" si="10"/>
        <v>46265</v>
      </c>
      <c r="D117" s="5">
        <v>2191</v>
      </c>
      <c r="E117" s="5">
        <v>1423</v>
      </c>
      <c r="F117" s="5">
        <v>1222</v>
      </c>
      <c r="G117" s="5">
        <v>246</v>
      </c>
      <c r="H117" s="5">
        <v>74</v>
      </c>
      <c r="I117" s="6">
        <v>40</v>
      </c>
      <c r="J117" s="6">
        <v>56</v>
      </c>
      <c r="K117" s="6">
        <v>108</v>
      </c>
      <c r="L117" s="7" t="s">
        <v>24</v>
      </c>
      <c r="M117" s="8" t="s">
        <v>136</v>
      </c>
      <c r="N117" s="9">
        <v>1</v>
      </c>
      <c r="O117" s="9">
        <v>69.3</v>
      </c>
      <c r="P117" s="9">
        <v>171</v>
      </c>
      <c r="Q117" s="10">
        <f t="shared" si="11"/>
        <v>460</v>
      </c>
      <c r="R117" s="10">
        <v>75</v>
      </c>
      <c r="S117" s="10">
        <v>291</v>
      </c>
      <c r="T117" s="10">
        <v>94</v>
      </c>
      <c r="U117" s="10">
        <v>139</v>
      </c>
      <c r="V117" s="10" t="s">
        <v>326</v>
      </c>
      <c r="W117" s="10" t="s">
        <v>327</v>
      </c>
      <c r="X117" s="10">
        <v>0</v>
      </c>
    </row>
    <row r="118" spans="1:24" x14ac:dyDescent="0.2">
      <c r="A118" s="2">
        <v>46270</v>
      </c>
      <c r="B118" s="3" t="str">
        <f t="shared" si="9"/>
        <v>P2</v>
      </c>
      <c r="C118" s="4">
        <f t="shared" si="10"/>
        <v>46265</v>
      </c>
      <c r="D118" s="5">
        <v>8265</v>
      </c>
      <c r="E118" s="5">
        <v>5623</v>
      </c>
      <c r="F118" s="5">
        <v>4481</v>
      </c>
      <c r="G118" s="5">
        <v>1202</v>
      </c>
      <c r="H118" s="5">
        <v>202</v>
      </c>
      <c r="I118" s="6">
        <v>40</v>
      </c>
      <c r="J118" s="6">
        <v>67</v>
      </c>
      <c r="K118" s="6">
        <v>176</v>
      </c>
      <c r="L118" s="7" t="s">
        <v>24</v>
      </c>
      <c r="M118" s="8" t="s">
        <v>328</v>
      </c>
      <c r="N118" s="9">
        <v>2</v>
      </c>
      <c r="O118" s="9">
        <v>129.30000000000001</v>
      </c>
      <c r="P118" s="9">
        <v>1051</v>
      </c>
      <c r="Q118" s="10">
        <f t="shared" si="11"/>
        <v>373</v>
      </c>
      <c r="R118" s="10">
        <v>68</v>
      </c>
      <c r="S118" s="10">
        <v>234</v>
      </c>
      <c r="T118" s="10">
        <v>71</v>
      </c>
      <c r="U118" s="10">
        <v>7</v>
      </c>
      <c r="V118" s="10" t="s">
        <v>329</v>
      </c>
      <c r="W118" s="10" t="s">
        <v>330</v>
      </c>
      <c r="X118" s="10">
        <v>7</v>
      </c>
    </row>
    <row r="119" spans="1:24" x14ac:dyDescent="0.2">
      <c r="A119" s="2">
        <v>46271</v>
      </c>
      <c r="B119" s="3" t="str">
        <f t="shared" si="9"/>
        <v>P2</v>
      </c>
      <c r="C119" s="4">
        <f t="shared" si="10"/>
        <v>46265</v>
      </c>
      <c r="D119" s="5">
        <v>12593</v>
      </c>
      <c r="E119" s="5">
        <v>10152</v>
      </c>
      <c r="F119" s="5">
        <v>7666</v>
      </c>
      <c r="G119" s="5">
        <v>743</v>
      </c>
      <c r="H119" s="5">
        <v>196</v>
      </c>
      <c r="I119" s="6">
        <v>40</v>
      </c>
      <c r="J119" s="6">
        <v>61.5</v>
      </c>
      <c r="K119" s="6">
        <v>176</v>
      </c>
      <c r="L119" s="7" t="s">
        <v>24</v>
      </c>
      <c r="M119" s="8" t="s">
        <v>331</v>
      </c>
      <c r="N119" s="9">
        <v>1</v>
      </c>
      <c r="O119" s="9">
        <v>41.5</v>
      </c>
      <c r="P119" s="9">
        <v>458.4</v>
      </c>
      <c r="Q119" s="10">
        <f t="shared" si="11"/>
        <v>288</v>
      </c>
      <c r="R119" s="10">
        <v>70</v>
      </c>
      <c r="S119" s="10">
        <v>154</v>
      </c>
      <c r="T119" s="10">
        <v>64</v>
      </c>
      <c r="U119" s="10">
        <v>5</v>
      </c>
      <c r="V119" s="10" t="s">
        <v>332</v>
      </c>
      <c r="W119" s="10" t="s">
        <v>333</v>
      </c>
      <c r="X119" s="10">
        <v>12</v>
      </c>
    </row>
    <row r="120" spans="1:24" x14ac:dyDescent="0.2">
      <c r="A120" s="2">
        <v>46272</v>
      </c>
      <c r="B120" s="3" t="str">
        <f t="shared" si="9"/>
        <v>P2</v>
      </c>
      <c r="C120" s="4">
        <f t="shared" si="10"/>
        <v>46272</v>
      </c>
      <c r="D120" s="5">
        <v>3474</v>
      </c>
      <c r="E120" s="5">
        <v>2304</v>
      </c>
      <c r="F120" s="5">
        <v>1892</v>
      </c>
      <c r="G120" s="5">
        <v>155</v>
      </c>
      <c r="H120" s="5">
        <v>60</v>
      </c>
      <c r="I120" s="6">
        <v>40</v>
      </c>
      <c r="J120" s="6">
        <v>54.7</v>
      </c>
      <c r="K120" s="6">
        <v>109</v>
      </c>
      <c r="L120" s="7" t="s">
        <v>24</v>
      </c>
      <c r="M120" s="8"/>
      <c r="N120" s="9">
        <v>0</v>
      </c>
      <c r="O120" s="9">
        <v>0</v>
      </c>
      <c r="P120" s="9">
        <v>0</v>
      </c>
      <c r="Q120" s="10">
        <f t="shared" si="11"/>
        <v>292</v>
      </c>
      <c r="R120" s="10">
        <v>50</v>
      </c>
      <c r="S120" s="10">
        <v>197</v>
      </c>
      <c r="T120" s="10">
        <v>45</v>
      </c>
      <c r="U120" s="10">
        <v>14</v>
      </c>
      <c r="V120" s="10" t="s">
        <v>334</v>
      </c>
      <c r="W120" s="10" t="s">
        <v>335</v>
      </c>
      <c r="X120" s="10">
        <v>11</v>
      </c>
    </row>
    <row r="121" spans="1:24" x14ac:dyDescent="0.2">
      <c r="A121" s="2">
        <v>46273</v>
      </c>
      <c r="B121" s="3" t="str">
        <f t="shared" si="9"/>
        <v>P2</v>
      </c>
      <c r="C121" s="4">
        <f t="shared" si="10"/>
        <v>46272</v>
      </c>
      <c r="D121" s="5">
        <v>14194</v>
      </c>
      <c r="E121" s="5">
        <v>11927</v>
      </c>
      <c r="F121" s="5">
        <v>9137</v>
      </c>
      <c r="G121" s="5">
        <v>1226</v>
      </c>
      <c r="H121" s="5">
        <v>186</v>
      </c>
      <c r="I121" s="6">
        <v>40</v>
      </c>
      <c r="J121" s="6">
        <v>71</v>
      </c>
      <c r="K121" s="6">
        <v>180</v>
      </c>
      <c r="L121" s="7" t="s">
        <v>24</v>
      </c>
      <c r="M121" s="8" t="s">
        <v>336</v>
      </c>
      <c r="N121" s="9">
        <v>2</v>
      </c>
      <c r="O121" s="9">
        <v>120.8</v>
      </c>
      <c r="P121" s="9">
        <v>965.6</v>
      </c>
      <c r="Q121" s="10">
        <f t="shared" si="11"/>
        <v>332</v>
      </c>
      <c r="R121" s="10">
        <v>59</v>
      </c>
      <c r="S121" s="10">
        <v>188</v>
      </c>
      <c r="T121" s="10">
        <v>85</v>
      </c>
      <c r="U121" s="10">
        <v>31</v>
      </c>
      <c r="V121" s="10" t="s">
        <v>337</v>
      </c>
      <c r="W121" s="10" t="s">
        <v>338</v>
      </c>
      <c r="X121" s="10">
        <v>7</v>
      </c>
    </row>
    <row r="122" spans="1:24" x14ac:dyDescent="0.2">
      <c r="A122" s="2">
        <v>46274</v>
      </c>
      <c r="B122" s="3" t="str">
        <f t="shared" si="9"/>
        <v>P2</v>
      </c>
      <c r="C122" s="4">
        <f t="shared" si="10"/>
        <v>46272</v>
      </c>
      <c r="D122" s="5">
        <v>6205</v>
      </c>
      <c r="E122" s="5">
        <v>4116</v>
      </c>
      <c r="F122" s="5">
        <v>3460</v>
      </c>
      <c r="G122" s="5">
        <v>330</v>
      </c>
      <c r="H122" s="5">
        <v>201</v>
      </c>
      <c r="I122" s="6">
        <v>44</v>
      </c>
      <c r="J122" s="6">
        <v>62.2</v>
      </c>
      <c r="K122" s="6">
        <v>139</v>
      </c>
      <c r="L122" s="7" t="s">
        <v>24</v>
      </c>
      <c r="M122" s="8" t="s">
        <v>339</v>
      </c>
      <c r="N122" s="9">
        <v>1</v>
      </c>
      <c r="O122" s="9">
        <v>42.5</v>
      </c>
      <c r="P122" s="9">
        <v>91</v>
      </c>
      <c r="Q122" s="10">
        <f t="shared" si="11"/>
        <v>237</v>
      </c>
      <c r="R122" s="10">
        <v>56</v>
      </c>
      <c r="S122" s="10">
        <v>137</v>
      </c>
      <c r="T122" s="10">
        <v>44</v>
      </c>
      <c r="U122" s="10">
        <v>5</v>
      </c>
      <c r="V122" s="10" t="s">
        <v>340</v>
      </c>
      <c r="W122" s="10" t="s">
        <v>341</v>
      </c>
      <c r="X122" s="10">
        <v>9</v>
      </c>
    </row>
    <row r="123" spans="1:24" x14ac:dyDescent="0.2">
      <c r="A123" s="2">
        <v>46275</v>
      </c>
      <c r="B123" s="3" t="str">
        <f t="shared" si="9"/>
        <v>P2</v>
      </c>
      <c r="C123" s="4">
        <f t="shared" si="10"/>
        <v>46272</v>
      </c>
      <c r="D123" s="5">
        <v>11016</v>
      </c>
      <c r="E123" s="5">
        <v>8485</v>
      </c>
      <c r="F123" s="5">
        <v>6662</v>
      </c>
      <c r="G123" s="5">
        <v>1391</v>
      </c>
      <c r="H123" s="5">
        <v>225</v>
      </c>
      <c r="I123" s="6">
        <v>40</v>
      </c>
      <c r="J123" s="6">
        <v>66.5</v>
      </c>
      <c r="K123" s="6">
        <v>170</v>
      </c>
      <c r="L123" s="7" t="s">
        <v>24</v>
      </c>
      <c r="M123" s="8" t="s">
        <v>342</v>
      </c>
      <c r="N123" s="9">
        <v>3</v>
      </c>
      <c r="O123" s="9">
        <v>147.6</v>
      </c>
      <c r="P123" s="9">
        <v>1232</v>
      </c>
      <c r="Q123" s="10">
        <f t="shared" si="11"/>
        <v>467</v>
      </c>
      <c r="R123" s="10">
        <v>75</v>
      </c>
      <c r="S123" s="10">
        <v>286</v>
      </c>
      <c r="T123" s="10">
        <v>106</v>
      </c>
      <c r="U123" s="10">
        <v>11</v>
      </c>
      <c r="V123" s="10" t="s">
        <v>343</v>
      </c>
      <c r="W123" s="10" t="s">
        <v>344</v>
      </c>
      <c r="X123" s="10">
        <v>5</v>
      </c>
    </row>
    <row r="124" spans="1:24" x14ac:dyDescent="0.2">
      <c r="A124" s="2">
        <v>46276</v>
      </c>
      <c r="B124" s="3" t="str">
        <f t="shared" si="9"/>
        <v>P2</v>
      </c>
      <c r="C124" s="4">
        <f t="shared" si="10"/>
        <v>46272</v>
      </c>
      <c r="D124" s="5">
        <v>2881</v>
      </c>
      <c r="E124" s="5">
        <v>1916</v>
      </c>
      <c r="F124" s="5">
        <v>1608</v>
      </c>
      <c r="G124" s="5">
        <v>125</v>
      </c>
      <c r="H124" s="5">
        <v>39</v>
      </c>
      <c r="I124" s="6">
        <v>42</v>
      </c>
      <c r="J124" s="6">
        <v>56</v>
      </c>
      <c r="K124" s="6">
        <v>108</v>
      </c>
      <c r="L124" s="7" t="s">
        <v>24</v>
      </c>
      <c r="M124" s="8"/>
      <c r="N124" s="9">
        <v>0</v>
      </c>
      <c r="O124" s="9">
        <v>0</v>
      </c>
      <c r="P124" s="9">
        <v>0</v>
      </c>
      <c r="Q124" s="10">
        <f t="shared" si="11"/>
        <v>249</v>
      </c>
      <c r="R124" s="10">
        <v>66</v>
      </c>
      <c r="S124" s="10">
        <v>127</v>
      </c>
      <c r="T124" s="10">
        <v>56</v>
      </c>
      <c r="U124" s="10">
        <v>2</v>
      </c>
      <c r="V124" s="10" t="s">
        <v>345</v>
      </c>
      <c r="W124" s="10" t="s">
        <v>346</v>
      </c>
      <c r="X124" s="10">
        <v>7</v>
      </c>
    </row>
    <row r="125" spans="1:24" x14ac:dyDescent="0.2">
      <c r="A125" s="2">
        <v>46277</v>
      </c>
      <c r="B125" s="3" t="str">
        <f t="shared" si="9"/>
        <v>P2</v>
      </c>
      <c r="C125" s="4">
        <f t="shared" si="10"/>
        <v>46272</v>
      </c>
      <c r="D125" s="5">
        <v>13159</v>
      </c>
      <c r="E125" s="5">
        <v>8993</v>
      </c>
      <c r="F125" s="5">
        <v>7224</v>
      </c>
      <c r="G125" s="5">
        <v>1289</v>
      </c>
      <c r="H125" s="5">
        <v>329</v>
      </c>
      <c r="I125" s="6">
        <v>40</v>
      </c>
      <c r="J125" s="6">
        <v>69.3</v>
      </c>
      <c r="K125" s="6">
        <v>179</v>
      </c>
      <c r="L125" s="7" t="s">
        <v>24</v>
      </c>
      <c r="M125" s="8" t="s">
        <v>347</v>
      </c>
      <c r="N125" s="9">
        <v>2</v>
      </c>
      <c r="O125" s="9">
        <v>144.69999999999999</v>
      </c>
      <c r="P125" s="9">
        <v>968</v>
      </c>
      <c r="Q125" s="10">
        <f t="shared" si="11"/>
        <v>232</v>
      </c>
      <c r="R125" s="10">
        <v>65</v>
      </c>
      <c r="S125" s="10">
        <v>133</v>
      </c>
      <c r="T125" s="10">
        <v>34</v>
      </c>
      <c r="U125" s="10">
        <v>12</v>
      </c>
      <c r="V125" s="10" t="s">
        <v>348</v>
      </c>
      <c r="W125" s="10" t="s">
        <v>349</v>
      </c>
      <c r="X125" s="10">
        <v>10</v>
      </c>
    </row>
    <row r="126" spans="1:24" x14ac:dyDescent="0.2">
      <c r="A126" s="2">
        <v>46278</v>
      </c>
      <c r="B126" s="3" t="str">
        <f t="shared" si="9"/>
        <v>P2</v>
      </c>
      <c r="C126" s="4">
        <f t="shared" si="10"/>
        <v>46272</v>
      </c>
      <c r="D126" s="5">
        <v>15382</v>
      </c>
      <c r="E126" s="5">
        <v>11550</v>
      </c>
      <c r="F126" s="5">
        <v>8832</v>
      </c>
      <c r="G126" s="5">
        <v>1339</v>
      </c>
      <c r="H126" s="5">
        <v>235</v>
      </c>
      <c r="I126" s="6">
        <v>43</v>
      </c>
      <c r="J126" s="6">
        <v>71.599999999999994</v>
      </c>
      <c r="K126" s="6">
        <v>180</v>
      </c>
      <c r="L126" s="7" t="s">
        <v>24</v>
      </c>
      <c r="M126" s="8" t="s">
        <v>350</v>
      </c>
      <c r="N126" s="9">
        <v>1</v>
      </c>
      <c r="O126" s="9">
        <v>106.6</v>
      </c>
      <c r="P126" s="9">
        <v>1081</v>
      </c>
      <c r="Q126" s="10">
        <f t="shared" si="11"/>
        <v>241</v>
      </c>
      <c r="R126" s="10">
        <v>67</v>
      </c>
      <c r="S126" s="10">
        <v>112</v>
      </c>
      <c r="T126" s="10">
        <v>62</v>
      </c>
      <c r="U126" s="10">
        <v>6</v>
      </c>
      <c r="V126" s="10" t="s">
        <v>351</v>
      </c>
      <c r="W126" s="10" t="s">
        <v>352</v>
      </c>
      <c r="X126" s="10">
        <v>7</v>
      </c>
    </row>
    <row r="127" spans="1:24" x14ac:dyDescent="0.2">
      <c r="A127" s="2">
        <v>46279</v>
      </c>
      <c r="B127" s="3" t="str">
        <f t="shared" si="9"/>
        <v>P2</v>
      </c>
      <c r="C127" s="4">
        <f t="shared" si="10"/>
        <v>46279</v>
      </c>
      <c r="D127" s="5">
        <v>2586</v>
      </c>
      <c r="E127" s="5">
        <v>1705</v>
      </c>
      <c r="F127" s="5">
        <v>1487</v>
      </c>
      <c r="G127" s="5">
        <v>135</v>
      </c>
      <c r="H127" s="5">
        <v>151</v>
      </c>
      <c r="I127" s="6">
        <v>40</v>
      </c>
      <c r="J127" s="6">
        <v>53.7</v>
      </c>
      <c r="K127" s="6">
        <v>104</v>
      </c>
      <c r="L127" s="7" t="s">
        <v>24</v>
      </c>
      <c r="M127" s="8"/>
      <c r="N127" s="9">
        <v>0</v>
      </c>
      <c r="O127" s="9">
        <v>0</v>
      </c>
      <c r="P127" s="9">
        <v>0</v>
      </c>
      <c r="Q127" s="10">
        <f t="shared" si="11"/>
        <v>422</v>
      </c>
      <c r="R127" s="10">
        <v>75</v>
      </c>
      <c r="S127" s="10">
        <v>253</v>
      </c>
      <c r="T127" s="10">
        <v>94</v>
      </c>
      <c r="U127" s="10">
        <v>9</v>
      </c>
      <c r="V127" s="10" t="s">
        <v>353</v>
      </c>
      <c r="W127" s="10" t="s">
        <v>354</v>
      </c>
      <c r="X127" s="10">
        <v>5</v>
      </c>
    </row>
    <row r="128" spans="1:24" x14ac:dyDescent="0.2">
      <c r="A128" s="2">
        <v>46280</v>
      </c>
      <c r="B128" s="3" t="str">
        <f t="shared" si="9"/>
        <v>P2</v>
      </c>
      <c r="C128" s="4">
        <f t="shared" si="10"/>
        <v>46279</v>
      </c>
      <c r="D128" s="5">
        <v>4870</v>
      </c>
      <c r="E128" s="5">
        <v>3219</v>
      </c>
      <c r="F128" s="5">
        <v>2665</v>
      </c>
      <c r="G128" s="5">
        <v>231</v>
      </c>
      <c r="H128" s="5">
        <v>106</v>
      </c>
      <c r="I128" s="6">
        <v>40</v>
      </c>
      <c r="J128" s="6">
        <v>60.2</v>
      </c>
      <c r="K128" s="6">
        <v>107</v>
      </c>
      <c r="L128" s="7" t="s">
        <v>24</v>
      </c>
      <c r="M128" s="8"/>
      <c r="N128" s="9">
        <v>0</v>
      </c>
      <c r="O128" s="9">
        <v>0</v>
      </c>
      <c r="P128" s="9">
        <v>0</v>
      </c>
      <c r="Q128" s="10">
        <f t="shared" si="11"/>
        <v>396</v>
      </c>
      <c r="R128" s="10">
        <v>78</v>
      </c>
      <c r="S128" s="10">
        <v>221</v>
      </c>
      <c r="T128" s="10">
        <v>97</v>
      </c>
      <c r="U128" s="10">
        <v>10</v>
      </c>
      <c r="V128" s="10" t="s">
        <v>355</v>
      </c>
      <c r="W128" s="10" t="s">
        <v>356</v>
      </c>
      <c r="X128" s="10">
        <v>0</v>
      </c>
    </row>
    <row r="129" spans="1:24" x14ac:dyDescent="0.2">
      <c r="A129" s="2">
        <v>46281</v>
      </c>
      <c r="B129" s="3" t="str">
        <f t="shared" si="9"/>
        <v>P2</v>
      </c>
      <c r="C129" s="4">
        <f t="shared" si="10"/>
        <v>46279</v>
      </c>
      <c r="D129" s="5">
        <v>6513</v>
      </c>
      <c r="E129" s="5">
        <v>4417</v>
      </c>
      <c r="F129" s="5">
        <v>3560</v>
      </c>
      <c r="G129" s="5">
        <v>220</v>
      </c>
      <c r="H129" s="5">
        <v>105</v>
      </c>
      <c r="I129" s="6">
        <v>40</v>
      </c>
      <c r="J129" s="6">
        <v>55.5</v>
      </c>
      <c r="K129" s="6">
        <v>124</v>
      </c>
      <c r="L129" s="7" t="s">
        <v>24</v>
      </c>
      <c r="M129" s="8"/>
      <c r="N129" s="9">
        <v>0</v>
      </c>
      <c r="O129" s="9">
        <v>0</v>
      </c>
      <c r="P129" s="9">
        <v>0</v>
      </c>
      <c r="Q129" s="10">
        <f t="shared" si="11"/>
        <v>392</v>
      </c>
      <c r="R129" s="10">
        <v>90</v>
      </c>
      <c r="S129" s="10">
        <v>234</v>
      </c>
      <c r="T129" s="10">
        <v>68</v>
      </c>
      <c r="U129" s="10">
        <v>14</v>
      </c>
      <c r="V129" s="10" t="s">
        <v>357</v>
      </c>
      <c r="W129" s="10" t="s">
        <v>358</v>
      </c>
      <c r="X129" s="10">
        <v>5</v>
      </c>
    </row>
    <row r="130" spans="1:24" x14ac:dyDescent="0.2">
      <c r="A130" s="2">
        <v>46282</v>
      </c>
      <c r="B130" s="3" t="str">
        <f t="shared" ref="B130:B161" si="12">IF(A130&lt;=DATE(2026,7,20),"P1","P2")</f>
        <v>P2</v>
      </c>
      <c r="C130" s="4">
        <f t="shared" ref="C130:C141" si="13">A130-WEEKDAY(A130,3)</f>
        <v>46279</v>
      </c>
      <c r="D130" s="5">
        <v>7942</v>
      </c>
      <c r="E130" s="5">
        <v>5490</v>
      </c>
      <c r="F130" s="5">
        <v>4485</v>
      </c>
      <c r="G130" s="5">
        <v>370</v>
      </c>
      <c r="H130" s="5">
        <v>204</v>
      </c>
      <c r="I130" s="6">
        <v>40</v>
      </c>
      <c r="J130" s="6">
        <v>57.1</v>
      </c>
      <c r="K130" s="6">
        <v>121</v>
      </c>
      <c r="L130" s="7" t="s">
        <v>24</v>
      </c>
      <c r="M130" s="8" t="s">
        <v>359</v>
      </c>
      <c r="N130" s="9">
        <v>1</v>
      </c>
      <c r="O130" s="9">
        <v>33.5</v>
      </c>
      <c r="P130" s="9">
        <v>95</v>
      </c>
      <c r="Q130" s="10">
        <f t="shared" ref="Q130:Q161" si="14">IF(COUNT(R130:T130)=3,R130+S130+T130,"")</f>
        <v>331</v>
      </c>
      <c r="R130" s="10">
        <v>75</v>
      </c>
      <c r="S130" s="10">
        <v>192</v>
      </c>
      <c r="T130" s="10">
        <v>64</v>
      </c>
      <c r="U130" s="10">
        <v>20</v>
      </c>
      <c r="V130" s="10" t="s">
        <v>360</v>
      </c>
      <c r="W130" s="10" t="s">
        <v>361</v>
      </c>
      <c r="X130" s="10">
        <v>7</v>
      </c>
    </row>
    <row r="131" spans="1:24" x14ac:dyDescent="0.2">
      <c r="A131" s="2">
        <v>46283</v>
      </c>
      <c r="B131" s="3" t="str">
        <f t="shared" si="12"/>
        <v>P2</v>
      </c>
      <c r="C131" s="4">
        <f t="shared" si="13"/>
        <v>46279</v>
      </c>
      <c r="D131" s="5">
        <v>7399</v>
      </c>
      <c r="E131" s="5">
        <v>5843</v>
      </c>
      <c r="F131" s="5">
        <v>4391</v>
      </c>
      <c r="G131" s="5">
        <v>655</v>
      </c>
      <c r="H131" s="5">
        <v>112</v>
      </c>
      <c r="I131" s="6">
        <v>40</v>
      </c>
      <c r="J131" s="6">
        <v>59.3</v>
      </c>
      <c r="K131" s="6">
        <v>168</v>
      </c>
      <c r="L131" s="7" t="s">
        <v>24</v>
      </c>
      <c r="M131" s="8" t="s">
        <v>362</v>
      </c>
      <c r="N131" s="9">
        <v>2</v>
      </c>
      <c r="O131" s="9">
        <v>74.599999999999994</v>
      </c>
      <c r="P131" s="9">
        <v>489</v>
      </c>
      <c r="Q131" s="10">
        <f t="shared" si="14"/>
        <v>408</v>
      </c>
      <c r="R131" s="10">
        <v>87</v>
      </c>
      <c r="S131" s="10">
        <v>215</v>
      </c>
      <c r="T131" s="10">
        <v>106</v>
      </c>
      <c r="U131" s="10">
        <v>18</v>
      </c>
      <c r="V131" s="10" t="s">
        <v>363</v>
      </c>
      <c r="W131" s="10" t="s">
        <v>364</v>
      </c>
      <c r="X131" s="10">
        <v>0</v>
      </c>
    </row>
    <row r="132" spans="1:24" x14ac:dyDescent="0.2">
      <c r="A132" s="2">
        <v>46284</v>
      </c>
      <c r="B132" s="3" t="str">
        <f t="shared" si="12"/>
        <v>P2</v>
      </c>
      <c r="C132" s="4">
        <f t="shared" si="13"/>
        <v>46279</v>
      </c>
      <c r="D132" s="5">
        <v>4720</v>
      </c>
      <c r="E132" s="5">
        <v>3195</v>
      </c>
      <c r="F132" s="5">
        <v>2592</v>
      </c>
      <c r="G132" s="5">
        <v>165</v>
      </c>
      <c r="H132" s="5">
        <v>169</v>
      </c>
      <c r="I132" s="6">
        <v>41</v>
      </c>
      <c r="J132" s="6">
        <v>55.2</v>
      </c>
      <c r="K132" s="6">
        <v>95</v>
      </c>
      <c r="L132" s="7" t="s">
        <v>24</v>
      </c>
      <c r="M132" s="8"/>
      <c r="N132" s="9">
        <v>0</v>
      </c>
      <c r="O132" s="9">
        <v>0</v>
      </c>
      <c r="P132" s="9">
        <v>0</v>
      </c>
      <c r="Q132" s="10">
        <f t="shared" si="14"/>
        <v>590</v>
      </c>
      <c r="R132" s="10">
        <v>55</v>
      </c>
      <c r="S132" s="10">
        <v>398</v>
      </c>
      <c r="T132" s="10">
        <v>137</v>
      </c>
      <c r="U132" s="10">
        <v>29</v>
      </c>
      <c r="V132" s="10" t="s">
        <v>365</v>
      </c>
      <c r="W132" s="10" t="s">
        <v>366</v>
      </c>
      <c r="X132" s="10">
        <v>0</v>
      </c>
    </row>
    <row r="133" spans="1:24" x14ac:dyDescent="0.2">
      <c r="A133" s="2">
        <v>46285</v>
      </c>
      <c r="B133" s="3" t="str">
        <f t="shared" si="12"/>
        <v>P2</v>
      </c>
      <c r="C133" s="4">
        <f t="shared" si="13"/>
        <v>46279</v>
      </c>
      <c r="D133" s="5">
        <v>6521</v>
      </c>
      <c r="E133" s="5">
        <v>4445</v>
      </c>
      <c r="F133" s="5">
        <v>3604</v>
      </c>
      <c r="G133" s="5">
        <v>730</v>
      </c>
      <c r="H133" s="5">
        <v>135</v>
      </c>
      <c r="I133" s="6">
        <v>40</v>
      </c>
      <c r="J133" s="6">
        <v>63</v>
      </c>
      <c r="K133" s="6">
        <v>161</v>
      </c>
      <c r="L133" s="7" t="s">
        <v>24</v>
      </c>
      <c r="M133" s="8" t="s">
        <v>367</v>
      </c>
      <c r="N133" s="9">
        <v>1</v>
      </c>
      <c r="O133" s="9">
        <v>88.2</v>
      </c>
      <c r="P133" s="9">
        <v>597</v>
      </c>
      <c r="Q133" s="10">
        <f t="shared" si="14"/>
        <v>551</v>
      </c>
      <c r="R133" s="10">
        <v>82</v>
      </c>
      <c r="S133" s="10">
        <v>337</v>
      </c>
      <c r="T133" s="10">
        <v>132</v>
      </c>
      <c r="U133" s="10">
        <v>16</v>
      </c>
      <c r="V133" s="10" t="s">
        <v>368</v>
      </c>
      <c r="W133" s="10" t="s">
        <v>369</v>
      </c>
      <c r="X133" s="10">
        <v>0</v>
      </c>
    </row>
    <row r="134" spans="1:24" x14ac:dyDescent="0.2">
      <c r="A134" s="2">
        <v>46286</v>
      </c>
      <c r="B134" s="3" t="str">
        <f t="shared" si="12"/>
        <v>P2</v>
      </c>
      <c r="C134" s="4">
        <f t="shared" si="13"/>
        <v>46286</v>
      </c>
      <c r="D134" s="5">
        <v>7573</v>
      </c>
      <c r="E134" s="5">
        <v>5904</v>
      </c>
      <c r="F134" s="5">
        <v>4742</v>
      </c>
      <c r="G134" s="5">
        <v>600</v>
      </c>
      <c r="H134" s="5">
        <v>154</v>
      </c>
      <c r="I134" s="6">
        <v>45</v>
      </c>
      <c r="J134" s="6">
        <v>65.7</v>
      </c>
      <c r="K134" s="6">
        <v>184</v>
      </c>
      <c r="L134" s="7" t="s">
        <v>24</v>
      </c>
      <c r="M134" s="8" t="s">
        <v>370</v>
      </c>
      <c r="N134" s="9">
        <v>2</v>
      </c>
      <c r="O134" s="9">
        <v>68.400000000000006</v>
      </c>
      <c r="P134" s="9">
        <v>397.1</v>
      </c>
      <c r="Q134" s="10">
        <f t="shared" si="14"/>
        <v>285</v>
      </c>
      <c r="R134" s="10">
        <v>68</v>
      </c>
      <c r="S134" s="10">
        <v>159</v>
      </c>
      <c r="T134" s="10">
        <v>58</v>
      </c>
      <c r="U134" s="10">
        <v>10</v>
      </c>
      <c r="V134" s="10" t="s">
        <v>371</v>
      </c>
      <c r="W134" s="10" t="s">
        <v>372</v>
      </c>
      <c r="X134" s="10">
        <v>9</v>
      </c>
    </row>
    <row r="135" spans="1:24" x14ac:dyDescent="0.2">
      <c r="A135" s="2">
        <v>46287</v>
      </c>
      <c r="B135" s="3" t="str">
        <f t="shared" si="12"/>
        <v>P2</v>
      </c>
      <c r="C135" s="4">
        <f t="shared" si="13"/>
        <v>46286</v>
      </c>
      <c r="D135" s="5">
        <v>3034</v>
      </c>
      <c r="E135" s="5">
        <v>2050</v>
      </c>
      <c r="F135" s="5">
        <v>1645</v>
      </c>
      <c r="G135" s="5">
        <v>131</v>
      </c>
      <c r="H135" s="5">
        <v>67</v>
      </c>
      <c r="I135" s="6">
        <v>40</v>
      </c>
      <c r="J135" s="6">
        <v>55.2</v>
      </c>
      <c r="K135" s="6">
        <v>108</v>
      </c>
      <c r="L135" s="7" t="s">
        <v>24</v>
      </c>
      <c r="M135" s="8"/>
      <c r="N135" s="9">
        <v>0</v>
      </c>
      <c r="O135" s="9">
        <v>0</v>
      </c>
      <c r="P135" s="9">
        <v>0</v>
      </c>
      <c r="Q135" s="10">
        <f t="shared" si="14"/>
        <v>349</v>
      </c>
      <c r="R135" s="10">
        <v>44</v>
      </c>
      <c r="S135" s="10">
        <v>224</v>
      </c>
      <c r="T135" s="10">
        <v>81</v>
      </c>
      <c r="U135" s="10">
        <v>9</v>
      </c>
      <c r="V135" s="10" t="s">
        <v>373</v>
      </c>
      <c r="W135" s="10" t="s">
        <v>374</v>
      </c>
      <c r="X135" s="10">
        <v>7</v>
      </c>
    </row>
    <row r="136" spans="1:24" x14ac:dyDescent="0.2">
      <c r="A136" s="2">
        <v>46288</v>
      </c>
      <c r="B136" s="3" t="str">
        <f t="shared" si="12"/>
        <v>P2</v>
      </c>
      <c r="C136" s="4">
        <f t="shared" si="13"/>
        <v>46286</v>
      </c>
      <c r="D136" s="5">
        <v>8123</v>
      </c>
      <c r="E136" s="5">
        <v>5865</v>
      </c>
      <c r="F136" s="5">
        <v>4521</v>
      </c>
      <c r="G136" s="5">
        <v>409</v>
      </c>
      <c r="H136" s="5">
        <v>113</v>
      </c>
      <c r="I136" s="6">
        <v>40</v>
      </c>
      <c r="J136" s="6">
        <v>56.9</v>
      </c>
      <c r="K136" s="6">
        <v>114</v>
      </c>
      <c r="L136" s="7" t="s">
        <v>24</v>
      </c>
      <c r="M136" s="8" t="s">
        <v>375</v>
      </c>
      <c r="N136" s="9">
        <v>1</v>
      </c>
      <c r="O136" s="9">
        <v>58.2</v>
      </c>
      <c r="P136" s="9">
        <v>157</v>
      </c>
      <c r="Q136" s="10">
        <f t="shared" si="14"/>
        <v>295</v>
      </c>
      <c r="R136" s="10">
        <v>76</v>
      </c>
      <c r="S136" s="10">
        <v>160</v>
      </c>
      <c r="T136" s="10">
        <v>59</v>
      </c>
      <c r="U136" s="10">
        <v>18</v>
      </c>
      <c r="V136" s="10" t="s">
        <v>376</v>
      </c>
      <c r="W136" s="10" t="s">
        <v>377</v>
      </c>
      <c r="X136" s="10">
        <v>5</v>
      </c>
    </row>
    <row r="137" spans="1:24" x14ac:dyDescent="0.2">
      <c r="A137" s="2">
        <v>46289</v>
      </c>
      <c r="B137" s="3" t="str">
        <f t="shared" si="12"/>
        <v>P2</v>
      </c>
      <c r="C137" s="4">
        <f t="shared" si="13"/>
        <v>46286</v>
      </c>
      <c r="D137" s="5">
        <v>13051</v>
      </c>
      <c r="E137" s="5">
        <v>9815</v>
      </c>
      <c r="F137" s="5">
        <v>7584</v>
      </c>
      <c r="G137" s="5">
        <v>1133</v>
      </c>
      <c r="H137" s="5">
        <v>156</v>
      </c>
      <c r="I137" s="6">
        <v>40</v>
      </c>
      <c r="J137" s="6">
        <v>66</v>
      </c>
      <c r="K137" s="6">
        <v>183</v>
      </c>
      <c r="L137" s="7" t="s">
        <v>24</v>
      </c>
      <c r="M137" s="8" t="s">
        <v>378</v>
      </c>
      <c r="N137" s="9">
        <v>2</v>
      </c>
      <c r="O137" s="9">
        <v>78</v>
      </c>
      <c r="P137" s="9">
        <v>901.1</v>
      </c>
      <c r="Q137" s="10">
        <f t="shared" si="14"/>
        <v>366</v>
      </c>
      <c r="R137" s="10">
        <v>65</v>
      </c>
      <c r="S137" s="10">
        <v>220</v>
      </c>
      <c r="T137" s="10">
        <v>81</v>
      </c>
      <c r="U137" s="10">
        <v>2</v>
      </c>
      <c r="V137" s="10" t="s">
        <v>379</v>
      </c>
      <c r="W137" s="10" t="s">
        <v>380</v>
      </c>
      <c r="X137" s="10">
        <v>0</v>
      </c>
    </row>
    <row r="138" spans="1:24" x14ac:dyDescent="0.2">
      <c r="A138" s="2">
        <v>46290</v>
      </c>
      <c r="B138" s="3" t="str">
        <f t="shared" si="12"/>
        <v>P2</v>
      </c>
      <c r="C138" s="4">
        <f t="shared" si="13"/>
        <v>46286</v>
      </c>
      <c r="D138" s="5">
        <v>7238</v>
      </c>
      <c r="E138" s="5">
        <v>5067</v>
      </c>
      <c r="F138" s="5">
        <v>4059</v>
      </c>
      <c r="G138" s="5">
        <v>420</v>
      </c>
      <c r="H138" s="5">
        <v>115</v>
      </c>
      <c r="I138" s="6">
        <v>40</v>
      </c>
      <c r="J138" s="6">
        <v>56.8</v>
      </c>
      <c r="K138" s="6">
        <v>114</v>
      </c>
      <c r="L138" s="7" t="s">
        <v>24</v>
      </c>
      <c r="M138" s="8" t="s">
        <v>381</v>
      </c>
      <c r="N138" s="9">
        <v>1</v>
      </c>
      <c r="O138" s="9">
        <v>49.7</v>
      </c>
      <c r="P138" s="9">
        <v>178</v>
      </c>
      <c r="Q138" s="10">
        <f t="shared" si="14"/>
        <v>465</v>
      </c>
      <c r="R138" s="10">
        <v>70</v>
      </c>
      <c r="S138" s="10">
        <v>248</v>
      </c>
      <c r="T138" s="10">
        <v>147</v>
      </c>
      <c r="U138" s="10">
        <v>7</v>
      </c>
      <c r="V138" s="10" t="s">
        <v>382</v>
      </c>
      <c r="W138" s="10" t="s">
        <v>383</v>
      </c>
      <c r="X138" s="10">
        <v>5</v>
      </c>
    </row>
    <row r="139" spans="1:24" x14ac:dyDescent="0.2">
      <c r="A139" s="2">
        <v>46291</v>
      </c>
      <c r="B139" s="3" t="str">
        <f t="shared" si="12"/>
        <v>P2</v>
      </c>
      <c r="C139" s="4">
        <f t="shared" si="13"/>
        <v>46286</v>
      </c>
      <c r="D139" s="5">
        <v>3269</v>
      </c>
      <c r="E139" s="5">
        <v>2160</v>
      </c>
      <c r="F139" s="5">
        <v>1844</v>
      </c>
      <c r="G139" s="5">
        <v>141</v>
      </c>
      <c r="H139" s="5">
        <v>85</v>
      </c>
      <c r="I139" s="6">
        <v>40</v>
      </c>
      <c r="J139" s="6">
        <v>54.7</v>
      </c>
      <c r="K139" s="6">
        <v>86</v>
      </c>
      <c r="L139" s="7" t="s">
        <v>24</v>
      </c>
      <c r="M139" s="8"/>
      <c r="N139" s="9">
        <v>0</v>
      </c>
      <c r="O139" s="9">
        <v>0</v>
      </c>
      <c r="P139" s="9">
        <v>0</v>
      </c>
      <c r="Q139" s="10">
        <f t="shared" si="14"/>
        <v>349</v>
      </c>
      <c r="R139" s="10">
        <v>43</v>
      </c>
      <c r="S139" s="10">
        <v>222</v>
      </c>
      <c r="T139" s="10">
        <v>84</v>
      </c>
      <c r="U139" s="10">
        <v>10</v>
      </c>
      <c r="V139" s="10" t="s">
        <v>384</v>
      </c>
      <c r="W139" s="10" t="s">
        <v>385</v>
      </c>
      <c r="X139" s="10">
        <v>15</v>
      </c>
    </row>
    <row r="140" spans="1:24" x14ac:dyDescent="0.2">
      <c r="A140" s="2">
        <v>46292</v>
      </c>
      <c r="B140" s="3" t="str">
        <f t="shared" si="12"/>
        <v>P2</v>
      </c>
      <c r="C140" s="4">
        <f t="shared" si="13"/>
        <v>46286</v>
      </c>
      <c r="D140" s="5">
        <v>24771</v>
      </c>
      <c r="E140" s="5">
        <v>20371</v>
      </c>
      <c r="F140" s="5">
        <v>15401</v>
      </c>
      <c r="G140" s="5">
        <v>1607</v>
      </c>
      <c r="H140" s="5">
        <v>300</v>
      </c>
      <c r="I140" s="6">
        <v>41</v>
      </c>
      <c r="J140" s="6">
        <v>74.5</v>
      </c>
      <c r="K140" s="6">
        <v>164</v>
      </c>
      <c r="L140" s="7" t="s">
        <v>24</v>
      </c>
      <c r="M140" s="8" t="s">
        <v>386</v>
      </c>
      <c r="N140" s="9">
        <v>1</v>
      </c>
      <c r="O140" s="9">
        <v>115.9</v>
      </c>
      <c r="P140" s="9">
        <v>1315</v>
      </c>
      <c r="Q140" s="10">
        <f t="shared" si="14"/>
        <v>307</v>
      </c>
      <c r="R140" s="10">
        <v>48</v>
      </c>
      <c r="S140" s="10">
        <v>203</v>
      </c>
      <c r="T140" s="10">
        <v>56</v>
      </c>
      <c r="U140" s="10">
        <v>8</v>
      </c>
      <c r="V140" s="10" t="s">
        <v>387</v>
      </c>
      <c r="W140" s="10" t="s">
        <v>388</v>
      </c>
      <c r="X140" s="10">
        <v>0</v>
      </c>
    </row>
    <row r="141" spans="1:24" x14ac:dyDescent="0.2">
      <c r="A141" s="2">
        <v>46293</v>
      </c>
      <c r="B141" s="3" t="str">
        <f t="shared" si="12"/>
        <v>P2</v>
      </c>
      <c r="C141" s="4">
        <f t="shared" si="13"/>
        <v>46293</v>
      </c>
      <c r="D141" s="5">
        <v>8631</v>
      </c>
      <c r="E141" s="5">
        <v>5982</v>
      </c>
      <c r="F141" s="5">
        <v>4907</v>
      </c>
      <c r="G141" s="5">
        <v>1115</v>
      </c>
      <c r="H141" s="5">
        <v>176</v>
      </c>
      <c r="I141" s="6">
        <v>43</v>
      </c>
      <c r="J141" s="6">
        <v>64.5</v>
      </c>
      <c r="K141" s="6">
        <v>185</v>
      </c>
      <c r="L141" s="7" t="s">
        <v>24</v>
      </c>
      <c r="M141" s="8" t="s">
        <v>389</v>
      </c>
      <c r="N141" s="9">
        <v>1</v>
      </c>
      <c r="O141" s="9">
        <v>107.3</v>
      </c>
      <c r="P141" s="9">
        <v>887</v>
      </c>
      <c r="Q141" s="10">
        <f t="shared" si="14"/>
        <v>269</v>
      </c>
      <c r="R141" s="10">
        <v>74</v>
      </c>
      <c r="S141" s="10">
        <v>150</v>
      </c>
      <c r="T141" s="10">
        <v>45</v>
      </c>
      <c r="U141" s="10">
        <v>10</v>
      </c>
      <c r="V141" s="10" t="s">
        <v>390</v>
      </c>
      <c r="W141" s="10" t="s">
        <v>391</v>
      </c>
      <c r="X141" s="10">
        <v>7</v>
      </c>
    </row>
  </sheetData>
  <autoFilter ref="A1:X141" xr:uid="{00000000-0009-0000-0000-000000000000}"/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8" customWidth="1"/>
    <col min="3" max="3" width="9" customWidth="1"/>
    <col min="4" max="4" width="30" customWidth="1"/>
    <col min="5" max="5" width="22" customWidth="1"/>
    <col min="6" max="6" width="10" customWidth="1"/>
    <col min="7" max="8" width="11" customWidth="1"/>
    <col min="9" max="10" width="10" customWidth="1"/>
    <col min="11" max="11" width="9" customWidth="1"/>
  </cols>
  <sheetData>
    <row r="1" spans="1:11" ht="30" customHeight="1" x14ac:dyDescent="0.2">
      <c r="A1" s="1" t="s">
        <v>392</v>
      </c>
      <c r="B1" s="1" t="s">
        <v>1</v>
      </c>
      <c r="C1" s="1" t="s">
        <v>393</v>
      </c>
      <c r="D1" s="1" t="s">
        <v>394</v>
      </c>
      <c r="E1" s="1" t="s">
        <v>395</v>
      </c>
      <c r="F1" s="1" t="s">
        <v>396</v>
      </c>
      <c r="G1" s="1" t="s">
        <v>4</v>
      </c>
      <c r="H1" s="1" t="s">
        <v>397</v>
      </c>
      <c r="I1" s="1" t="s">
        <v>398</v>
      </c>
      <c r="J1" s="1" t="s">
        <v>399</v>
      </c>
      <c r="K1" s="1" t="s">
        <v>400</v>
      </c>
    </row>
    <row r="2" spans="1:11" x14ac:dyDescent="0.2">
      <c r="A2" s="4">
        <v>46155</v>
      </c>
      <c r="B2" s="3" t="str">
        <f t="shared" ref="B2:B33" si="0">IF(A2&lt;=DATE(2026,7,20),"P1","P2")</f>
        <v>P1</v>
      </c>
      <c r="C2" s="3">
        <v>52</v>
      </c>
      <c r="D2" s="11" t="s">
        <v>401</v>
      </c>
      <c r="E2" s="3" t="s">
        <v>402</v>
      </c>
      <c r="F2" s="3">
        <v>27.7</v>
      </c>
      <c r="G2" s="3"/>
      <c r="H2" s="3"/>
      <c r="I2" s="12" t="str">
        <f t="shared" ref="I2:I33" si="1">IF(AND(G2&gt;=500,H2&gt;0),H2*1000/60,"")</f>
        <v/>
      </c>
      <c r="J2" s="3">
        <v>122</v>
      </c>
      <c r="K2" s="13">
        <f t="shared" ref="K2:K33" si="2">IF(F2&gt;0,J2/F2,"")</f>
        <v>4.4043321299638993</v>
      </c>
    </row>
    <row r="3" spans="1:11" x14ac:dyDescent="0.2">
      <c r="A3" s="4">
        <v>46155</v>
      </c>
      <c r="B3" s="3" t="str">
        <f t="shared" si="0"/>
        <v>P1</v>
      </c>
      <c r="C3" s="3">
        <v>49</v>
      </c>
      <c r="D3" s="11" t="s">
        <v>403</v>
      </c>
      <c r="E3" s="3" t="s">
        <v>404</v>
      </c>
      <c r="F3" s="3">
        <v>93.7</v>
      </c>
      <c r="G3" s="3"/>
      <c r="H3" s="3"/>
      <c r="I3" s="12" t="str">
        <f t="shared" si="1"/>
        <v/>
      </c>
      <c r="J3" s="3">
        <v>1139</v>
      </c>
      <c r="K3" s="13">
        <f t="shared" si="2"/>
        <v>12.15581643543223</v>
      </c>
    </row>
    <row r="4" spans="1:11" x14ac:dyDescent="0.2">
      <c r="A4" s="4">
        <v>46156</v>
      </c>
      <c r="B4" s="3" t="str">
        <f t="shared" si="0"/>
        <v>P1</v>
      </c>
      <c r="C4" s="3">
        <v>52</v>
      </c>
      <c r="D4" s="11" t="s">
        <v>401</v>
      </c>
      <c r="E4" s="3" t="s">
        <v>405</v>
      </c>
      <c r="F4" s="3">
        <v>55.4</v>
      </c>
      <c r="G4" s="3"/>
      <c r="H4" s="3"/>
      <c r="I4" s="12" t="str">
        <f t="shared" si="1"/>
        <v/>
      </c>
      <c r="J4" s="3">
        <v>257</v>
      </c>
      <c r="K4" s="13">
        <f t="shared" si="2"/>
        <v>4.6389891696750905</v>
      </c>
    </row>
    <row r="5" spans="1:11" x14ac:dyDescent="0.2">
      <c r="A5" s="4">
        <v>46157</v>
      </c>
      <c r="B5" s="3" t="str">
        <f t="shared" si="0"/>
        <v>P1</v>
      </c>
      <c r="C5" s="3">
        <v>52</v>
      </c>
      <c r="D5" s="11" t="s">
        <v>401</v>
      </c>
      <c r="E5" s="3" t="s">
        <v>406</v>
      </c>
      <c r="F5" s="3">
        <v>51.6</v>
      </c>
      <c r="G5" s="3"/>
      <c r="H5" s="3"/>
      <c r="I5" s="12" t="str">
        <f t="shared" si="1"/>
        <v/>
      </c>
      <c r="J5" s="3">
        <v>114</v>
      </c>
      <c r="K5" s="13">
        <f t="shared" si="2"/>
        <v>2.2093023255813953</v>
      </c>
    </row>
    <row r="6" spans="1:11" x14ac:dyDescent="0.2">
      <c r="A6" s="4">
        <v>46160</v>
      </c>
      <c r="B6" s="3" t="str">
        <f t="shared" si="0"/>
        <v>P1</v>
      </c>
      <c r="C6" s="3">
        <v>52</v>
      </c>
      <c r="D6" s="11" t="s">
        <v>401</v>
      </c>
      <c r="E6" s="3" t="s">
        <v>407</v>
      </c>
      <c r="F6" s="3">
        <v>44.8</v>
      </c>
      <c r="G6" s="3"/>
      <c r="H6" s="3"/>
      <c r="I6" s="12" t="str">
        <f t="shared" si="1"/>
        <v/>
      </c>
      <c r="J6" s="3">
        <v>208</v>
      </c>
      <c r="K6" s="13">
        <f t="shared" si="2"/>
        <v>4.6428571428571432</v>
      </c>
    </row>
    <row r="7" spans="1:11" x14ac:dyDescent="0.2">
      <c r="A7" s="4">
        <v>46160</v>
      </c>
      <c r="B7" s="3" t="str">
        <f t="shared" si="0"/>
        <v>P1</v>
      </c>
      <c r="C7" s="3">
        <v>1</v>
      </c>
      <c r="D7" s="11" t="s">
        <v>408</v>
      </c>
      <c r="E7" s="3" t="s">
        <v>409</v>
      </c>
      <c r="F7" s="3">
        <v>31.3</v>
      </c>
      <c r="G7" s="3">
        <v>5321</v>
      </c>
      <c r="H7" s="3">
        <v>0.3521894380755497</v>
      </c>
      <c r="I7" s="12">
        <f t="shared" si="1"/>
        <v>5.8698239679258277</v>
      </c>
      <c r="J7" s="3">
        <v>425.26315307617188</v>
      </c>
      <c r="K7" s="13">
        <f t="shared" si="2"/>
        <v>13.586682206906449</v>
      </c>
    </row>
    <row r="8" spans="1:11" x14ac:dyDescent="0.2">
      <c r="A8" s="4">
        <v>46161</v>
      </c>
      <c r="B8" s="3" t="str">
        <f t="shared" si="0"/>
        <v>P1</v>
      </c>
      <c r="C8" s="3">
        <v>6</v>
      </c>
      <c r="D8" s="11" t="s">
        <v>410</v>
      </c>
      <c r="E8" s="3" t="s">
        <v>411</v>
      </c>
      <c r="F8" s="3">
        <v>43.6</v>
      </c>
      <c r="G8" s="3">
        <v>3076</v>
      </c>
      <c r="H8" s="3">
        <v>0.84980494148244479</v>
      </c>
      <c r="I8" s="12">
        <f t="shared" si="1"/>
        <v>14.163415691374079</v>
      </c>
      <c r="J8" s="3">
        <v>140.92671203613281</v>
      </c>
      <c r="K8" s="13">
        <f t="shared" si="2"/>
        <v>3.2322640375259817</v>
      </c>
    </row>
    <row r="9" spans="1:11" x14ac:dyDescent="0.2">
      <c r="A9" s="4">
        <v>46161</v>
      </c>
      <c r="B9" s="3" t="str">
        <f t="shared" si="0"/>
        <v>P1</v>
      </c>
      <c r="C9" s="3">
        <v>52</v>
      </c>
      <c r="D9" s="11" t="s">
        <v>401</v>
      </c>
      <c r="E9" s="3" t="s">
        <v>412</v>
      </c>
      <c r="F9" s="3">
        <v>59.9</v>
      </c>
      <c r="G9" s="3"/>
      <c r="H9" s="3"/>
      <c r="I9" s="12" t="str">
        <f t="shared" si="1"/>
        <v/>
      </c>
      <c r="J9" s="3">
        <v>213</v>
      </c>
      <c r="K9" s="13">
        <f t="shared" si="2"/>
        <v>3.5559265442404007</v>
      </c>
    </row>
    <row r="10" spans="1:11" x14ac:dyDescent="0.2">
      <c r="A10" s="4">
        <v>46162</v>
      </c>
      <c r="B10" s="3" t="str">
        <f t="shared" si="0"/>
        <v>P1</v>
      </c>
      <c r="C10" s="3">
        <v>10</v>
      </c>
      <c r="D10" s="11" t="s">
        <v>413</v>
      </c>
      <c r="E10" s="3" t="s">
        <v>414</v>
      </c>
      <c r="F10" s="3">
        <v>50.9</v>
      </c>
      <c r="G10" s="3"/>
      <c r="H10" s="3"/>
      <c r="I10" s="12" t="str">
        <f t="shared" si="1"/>
        <v/>
      </c>
      <c r="J10" s="3">
        <v>348</v>
      </c>
      <c r="K10" s="13">
        <f t="shared" si="2"/>
        <v>6.8369351669941061</v>
      </c>
    </row>
    <row r="11" spans="1:11" x14ac:dyDescent="0.2">
      <c r="A11" s="4">
        <v>46163</v>
      </c>
      <c r="B11" s="3" t="str">
        <f t="shared" si="0"/>
        <v>P1</v>
      </c>
      <c r="C11" s="3">
        <v>52</v>
      </c>
      <c r="D11" s="11" t="s">
        <v>401</v>
      </c>
      <c r="E11" s="3" t="s">
        <v>415</v>
      </c>
      <c r="F11" s="3">
        <v>50.8</v>
      </c>
      <c r="G11" s="3"/>
      <c r="H11" s="3"/>
      <c r="I11" s="12" t="str">
        <f t="shared" si="1"/>
        <v/>
      </c>
      <c r="J11" s="3">
        <v>273</v>
      </c>
      <c r="K11" s="13">
        <f t="shared" si="2"/>
        <v>5.3740157480314963</v>
      </c>
    </row>
    <row r="12" spans="1:11" x14ac:dyDescent="0.2">
      <c r="A12" s="4">
        <v>46163</v>
      </c>
      <c r="B12" s="3" t="str">
        <f t="shared" si="0"/>
        <v>P1</v>
      </c>
      <c r="C12" s="3">
        <v>1</v>
      </c>
      <c r="D12" s="11" t="s">
        <v>408</v>
      </c>
      <c r="E12" s="3" t="s">
        <v>416</v>
      </c>
      <c r="F12" s="3">
        <v>28.3</v>
      </c>
      <c r="G12" s="3">
        <v>5079</v>
      </c>
      <c r="H12" s="3">
        <v>0.33392400078755657</v>
      </c>
      <c r="I12" s="12">
        <f t="shared" si="1"/>
        <v>5.5654000131259425</v>
      </c>
      <c r="J12" s="3">
        <v>368.5653076171875</v>
      </c>
      <c r="K12" s="13">
        <f t="shared" si="2"/>
        <v>13.02350910308083</v>
      </c>
    </row>
    <row r="13" spans="1:11" x14ac:dyDescent="0.2">
      <c r="A13" s="4">
        <v>46164</v>
      </c>
      <c r="B13" s="3" t="str">
        <f t="shared" si="0"/>
        <v>P1</v>
      </c>
      <c r="C13" s="3">
        <v>52</v>
      </c>
      <c r="D13" s="11" t="s">
        <v>401</v>
      </c>
      <c r="E13" s="3" t="s">
        <v>417</v>
      </c>
      <c r="F13" s="3">
        <v>44.3</v>
      </c>
      <c r="G13" s="3"/>
      <c r="H13" s="3"/>
      <c r="I13" s="12" t="str">
        <f t="shared" si="1"/>
        <v/>
      </c>
      <c r="J13" s="3">
        <v>174</v>
      </c>
      <c r="K13" s="13">
        <f t="shared" si="2"/>
        <v>3.9277652370203162</v>
      </c>
    </row>
    <row r="14" spans="1:11" x14ac:dyDescent="0.2">
      <c r="A14" s="4">
        <v>46165</v>
      </c>
      <c r="B14" s="3" t="str">
        <f t="shared" si="0"/>
        <v>P1</v>
      </c>
      <c r="C14" s="3">
        <v>85</v>
      </c>
      <c r="D14" s="11" t="s">
        <v>418</v>
      </c>
      <c r="E14" s="3" t="s">
        <v>419</v>
      </c>
      <c r="F14" s="3">
        <v>71.5</v>
      </c>
      <c r="G14" s="3"/>
      <c r="H14" s="3"/>
      <c r="I14" s="12" t="str">
        <f t="shared" si="1"/>
        <v/>
      </c>
      <c r="J14" s="3">
        <v>850</v>
      </c>
      <c r="K14" s="13">
        <f t="shared" si="2"/>
        <v>11.888111888111888</v>
      </c>
    </row>
    <row r="15" spans="1:11" x14ac:dyDescent="0.2">
      <c r="A15" s="4">
        <v>46166</v>
      </c>
      <c r="B15" s="3" t="str">
        <f t="shared" si="0"/>
        <v>P1</v>
      </c>
      <c r="C15" s="3">
        <v>1</v>
      </c>
      <c r="D15" s="11" t="s">
        <v>408</v>
      </c>
      <c r="E15" s="3" t="s">
        <v>420</v>
      </c>
      <c r="F15" s="3">
        <v>40</v>
      </c>
      <c r="G15" s="3">
        <v>6078</v>
      </c>
      <c r="H15" s="3">
        <v>0.39420862125699241</v>
      </c>
      <c r="I15" s="12">
        <f t="shared" si="1"/>
        <v>6.5701436876165396</v>
      </c>
      <c r="J15" s="3">
        <v>531.377685546875</v>
      </c>
      <c r="K15" s="13">
        <f t="shared" si="2"/>
        <v>13.284442138671874</v>
      </c>
    </row>
    <row r="16" spans="1:11" x14ac:dyDescent="0.2">
      <c r="A16" s="4">
        <v>46166</v>
      </c>
      <c r="B16" s="3" t="str">
        <f t="shared" si="0"/>
        <v>P1</v>
      </c>
      <c r="C16" s="3">
        <v>1</v>
      </c>
      <c r="D16" s="11" t="s">
        <v>408</v>
      </c>
      <c r="E16" s="3" t="s">
        <v>421</v>
      </c>
      <c r="F16" s="3">
        <v>18.8</v>
      </c>
      <c r="G16" s="3">
        <v>3178</v>
      </c>
      <c r="H16" s="3">
        <v>0.35431088735053501</v>
      </c>
      <c r="I16" s="12">
        <f t="shared" si="1"/>
        <v>5.90518145584225</v>
      </c>
      <c r="J16" s="3">
        <v>246.15850830078119</v>
      </c>
      <c r="K16" s="13">
        <f t="shared" si="2"/>
        <v>13.093537675573467</v>
      </c>
    </row>
    <row r="17" spans="1:11" x14ac:dyDescent="0.2">
      <c r="A17" s="4">
        <v>46166</v>
      </c>
      <c r="B17" s="3" t="str">
        <f t="shared" si="0"/>
        <v>P1</v>
      </c>
      <c r="C17" s="3">
        <v>49</v>
      </c>
      <c r="D17" s="11" t="s">
        <v>403</v>
      </c>
      <c r="E17" s="3" t="s">
        <v>422</v>
      </c>
      <c r="F17" s="3">
        <v>65.7</v>
      </c>
      <c r="G17" s="3"/>
      <c r="H17" s="3"/>
      <c r="I17" s="12" t="str">
        <f t="shared" si="1"/>
        <v/>
      </c>
      <c r="J17" s="3">
        <v>644</v>
      </c>
      <c r="K17" s="13">
        <f t="shared" si="2"/>
        <v>9.8021308980213089</v>
      </c>
    </row>
    <row r="18" spans="1:11" x14ac:dyDescent="0.2">
      <c r="A18" s="4">
        <v>46167</v>
      </c>
      <c r="B18" s="3" t="str">
        <f t="shared" si="0"/>
        <v>P1</v>
      </c>
      <c r="C18" s="3">
        <v>52</v>
      </c>
      <c r="D18" s="11" t="s">
        <v>401</v>
      </c>
      <c r="E18" s="3" t="s">
        <v>423</v>
      </c>
      <c r="F18" s="3">
        <v>36.700000000000003</v>
      </c>
      <c r="G18" s="3"/>
      <c r="H18" s="3"/>
      <c r="I18" s="12" t="str">
        <f t="shared" si="1"/>
        <v/>
      </c>
      <c r="J18" s="3">
        <v>153</v>
      </c>
      <c r="K18" s="13">
        <f t="shared" si="2"/>
        <v>4.1689373297002721</v>
      </c>
    </row>
    <row r="19" spans="1:11" x14ac:dyDescent="0.2">
      <c r="A19" s="4">
        <v>46168</v>
      </c>
      <c r="B19" s="3" t="str">
        <f t="shared" si="0"/>
        <v>P1</v>
      </c>
      <c r="C19" s="3">
        <v>85</v>
      </c>
      <c r="D19" s="11" t="s">
        <v>418</v>
      </c>
      <c r="E19" s="3" t="s">
        <v>424</v>
      </c>
      <c r="F19" s="3">
        <v>64.8</v>
      </c>
      <c r="G19" s="3"/>
      <c r="H19" s="3"/>
      <c r="I19" s="12" t="str">
        <f t="shared" si="1"/>
        <v/>
      </c>
      <c r="J19" s="3">
        <v>381</v>
      </c>
      <c r="K19" s="13">
        <f t="shared" si="2"/>
        <v>5.8796296296296298</v>
      </c>
    </row>
    <row r="20" spans="1:11" x14ac:dyDescent="0.2">
      <c r="A20" s="4">
        <v>46169</v>
      </c>
      <c r="B20" s="3" t="str">
        <f t="shared" si="0"/>
        <v>P1</v>
      </c>
      <c r="C20" s="3">
        <v>10</v>
      </c>
      <c r="D20" s="11" t="s">
        <v>413</v>
      </c>
      <c r="E20" s="3" t="s">
        <v>425</v>
      </c>
      <c r="F20" s="3">
        <v>51.8</v>
      </c>
      <c r="G20" s="3"/>
      <c r="H20" s="3"/>
      <c r="I20" s="12" t="str">
        <f t="shared" si="1"/>
        <v/>
      </c>
      <c r="J20" s="3">
        <v>400</v>
      </c>
      <c r="K20" s="13">
        <f t="shared" si="2"/>
        <v>7.7220077220077226</v>
      </c>
    </row>
    <row r="21" spans="1:11" x14ac:dyDescent="0.2">
      <c r="A21" s="4">
        <v>46169</v>
      </c>
      <c r="B21" s="3" t="str">
        <f t="shared" si="0"/>
        <v>P1</v>
      </c>
      <c r="C21" s="3">
        <v>52</v>
      </c>
      <c r="D21" s="11" t="s">
        <v>401</v>
      </c>
      <c r="E21" s="3" t="s">
        <v>426</v>
      </c>
      <c r="F21" s="3">
        <v>41.6</v>
      </c>
      <c r="G21" s="3"/>
      <c r="H21" s="3"/>
      <c r="I21" s="12" t="str">
        <f t="shared" si="1"/>
        <v/>
      </c>
      <c r="J21" s="3">
        <v>157</v>
      </c>
      <c r="K21" s="13">
        <f t="shared" si="2"/>
        <v>3.7740384615384612</v>
      </c>
    </row>
    <row r="22" spans="1:11" x14ac:dyDescent="0.2">
      <c r="A22" s="4">
        <v>46171</v>
      </c>
      <c r="B22" s="3" t="str">
        <f t="shared" si="0"/>
        <v>P1</v>
      </c>
      <c r="C22" s="3">
        <v>1</v>
      </c>
      <c r="D22" s="11" t="s">
        <v>408</v>
      </c>
      <c r="E22" s="3" t="s">
        <v>427</v>
      </c>
      <c r="F22" s="3">
        <v>66.099999999999994</v>
      </c>
      <c r="G22" s="3">
        <v>10352</v>
      </c>
      <c r="H22" s="3">
        <v>0.38292117465224113</v>
      </c>
      <c r="I22" s="12">
        <f t="shared" si="1"/>
        <v>6.3820195775373518</v>
      </c>
      <c r="J22" s="3">
        <v>840.22235107421875</v>
      </c>
      <c r="K22" s="13">
        <f t="shared" si="2"/>
        <v>12.7113820132257</v>
      </c>
    </row>
    <row r="23" spans="1:11" x14ac:dyDescent="0.2">
      <c r="A23" s="4">
        <v>46171</v>
      </c>
      <c r="B23" s="3" t="str">
        <f t="shared" si="0"/>
        <v>P1</v>
      </c>
      <c r="C23" s="3">
        <v>6</v>
      </c>
      <c r="D23" s="11" t="s">
        <v>410</v>
      </c>
      <c r="E23" s="3" t="s">
        <v>428</v>
      </c>
      <c r="F23" s="3">
        <v>28.4</v>
      </c>
      <c r="G23" s="3">
        <v>1723</v>
      </c>
      <c r="H23" s="3">
        <v>0.98781195589088799</v>
      </c>
      <c r="I23" s="12">
        <f t="shared" si="1"/>
        <v>16.463532598181466</v>
      </c>
      <c r="J23" s="3">
        <v>67.262886047363281</v>
      </c>
      <c r="K23" s="13">
        <f t="shared" si="2"/>
        <v>2.3684114805409608</v>
      </c>
    </row>
    <row r="24" spans="1:11" x14ac:dyDescent="0.2">
      <c r="A24" s="4">
        <v>46171</v>
      </c>
      <c r="B24" s="3" t="str">
        <f t="shared" si="0"/>
        <v>P1</v>
      </c>
      <c r="C24" s="3">
        <v>227</v>
      </c>
      <c r="D24" s="11" t="s">
        <v>413</v>
      </c>
      <c r="E24" s="3" t="s">
        <v>429</v>
      </c>
      <c r="F24" s="3">
        <v>46.4</v>
      </c>
      <c r="G24" s="3"/>
      <c r="H24" s="3"/>
      <c r="I24" s="12" t="str">
        <f t="shared" si="1"/>
        <v/>
      </c>
      <c r="J24" s="3">
        <v>305</v>
      </c>
      <c r="K24" s="13">
        <f t="shared" si="2"/>
        <v>6.5732758620689653</v>
      </c>
    </row>
    <row r="25" spans="1:11" x14ac:dyDescent="0.2">
      <c r="A25" s="4">
        <v>46172</v>
      </c>
      <c r="B25" s="3" t="str">
        <f t="shared" si="0"/>
        <v>P1</v>
      </c>
      <c r="C25" s="3">
        <v>49</v>
      </c>
      <c r="D25" s="11" t="s">
        <v>403</v>
      </c>
      <c r="E25" s="3" t="s">
        <v>430</v>
      </c>
      <c r="F25" s="3">
        <v>89.6</v>
      </c>
      <c r="G25" s="3"/>
      <c r="H25" s="3"/>
      <c r="I25" s="12" t="str">
        <f t="shared" si="1"/>
        <v/>
      </c>
      <c r="J25" s="3">
        <v>878</v>
      </c>
      <c r="K25" s="13">
        <f t="shared" si="2"/>
        <v>9.7991071428571441</v>
      </c>
    </row>
    <row r="26" spans="1:11" x14ac:dyDescent="0.2">
      <c r="A26" s="4">
        <v>46173</v>
      </c>
      <c r="B26" s="3" t="str">
        <f t="shared" si="0"/>
        <v>P1</v>
      </c>
      <c r="C26" s="3">
        <v>1</v>
      </c>
      <c r="D26" s="11" t="s">
        <v>408</v>
      </c>
      <c r="E26" s="3" t="s">
        <v>431</v>
      </c>
      <c r="F26" s="3">
        <v>21.1</v>
      </c>
      <c r="G26" s="3">
        <v>3122</v>
      </c>
      <c r="H26" s="3">
        <v>0.40358744394618828</v>
      </c>
      <c r="I26" s="12">
        <f t="shared" si="1"/>
        <v>6.726457399103138</v>
      </c>
      <c r="J26" s="3">
        <v>251.07633972167969</v>
      </c>
      <c r="K26" s="13">
        <f t="shared" si="2"/>
        <v>11.899352593444535</v>
      </c>
    </row>
    <row r="27" spans="1:11" x14ac:dyDescent="0.2">
      <c r="A27" s="4">
        <v>46173</v>
      </c>
      <c r="B27" s="3" t="str">
        <f t="shared" si="0"/>
        <v>P1</v>
      </c>
      <c r="C27" s="3">
        <v>52</v>
      </c>
      <c r="D27" s="11" t="s">
        <v>401</v>
      </c>
      <c r="E27" s="3" t="s">
        <v>432</v>
      </c>
      <c r="F27" s="3">
        <v>30.6</v>
      </c>
      <c r="G27" s="3"/>
      <c r="H27" s="3"/>
      <c r="I27" s="12" t="str">
        <f t="shared" si="1"/>
        <v/>
      </c>
      <c r="J27" s="3">
        <v>326</v>
      </c>
      <c r="K27" s="13">
        <f t="shared" si="2"/>
        <v>10.65359477124183</v>
      </c>
    </row>
    <row r="28" spans="1:11" x14ac:dyDescent="0.2">
      <c r="A28" s="4">
        <v>46173</v>
      </c>
      <c r="B28" s="3" t="str">
        <f t="shared" si="0"/>
        <v>P1</v>
      </c>
      <c r="C28" s="3">
        <v>49</v>
      </c>
      <c r="D28" s="11" t="s">
        <v>403</v>
      </c>
      <c r="E28" s="3" t="s">
        <v>433</v>
      </c>
      <c r="F28" s="3">
        <v>107.5</v>
      </c>
      <c r="G28" s="3"/>
      <c r="H28" s="3"/>
      <c r="I28" s="12" t="str">
        <f t="shared" si="1"/>
        <v/>
      </c>
      <c r="J28" s="3">
        <v>1099</v>
      </c>
      <c r="K28" s="13">
        <f t="shared" si="2"/>
        <v>10.223255813953488</v>
      </c>
    </row>
    <row r="29" spans="1:11" x14ac:dyDescent="0.2">
      <c r="A29" s="4">
        <v>46177</v>
      </c>
      <c r="B29" s="3" t="str">
        <f t="shared" si="0"/>
        <v>P1</v>
      </c>
      <c r="C29" s="3">
        <v>8</v>
      </c>
      <c r="D29" s="11" t="s">
        <v>410</v>
      </c>
      <c r="E29" s="3" t="s">
        <v>434</v>
      </c>
      <c r="F29" s="3">
        <v>15.1</v>
      </c>
      <c r="G29" s="3">
        <v>1660</v>
      </c>
      <c r="H29" s="3">
        <v>0.54337349397590362</v>
      </c>
      <c r="I29" s="12">
        <f t="shared" si="1"/>
        <v>9.0562248995983943</v>
      </c>
      <c r="J29" s="3">
        <v>200.89289855957031</v>
      </c>
      <c r="K29" s="13">
        <f t="shared" si="2"/>
        <v>13.304165467521212</v>
      </c>
    </row>
    <row r="30" spans="1:11" x14ac:dyDescent="0.2">
      <c r="A30" s="4">
        <v>46177</v>
      </c>
      <c r="B30" s="3" t="str">
        <f t="shared" si="0"/>
        <v>P1</v>
      </c>
      <c r="C30" s="3">
        <v>14</v>
      </c>
      <c r="D30" s="11" t="s">
        <v>413</v>
      </c>
      <c r="E30" s="3" t="s">
        <v>435</v>
      </c>
      <c r="F30" s="3">
        <v>70.900000000000006</v>
      </c>
      <c r="G30" s="3"/>
      <c r="H30" s="3"/>
      <c r="I30" s="12" t="str">
        <f t="shared" si="1"/>
        <v/>
      </c>
      <c r="J30" s="3">
        <v>298</v>
      </c>
      <c r="K30" s="13">
        <f t="shared" si="2"/>
        <v>4.2031029619181943</v>
      </c>
    </row>
    <row r="31" spans="1:11" x14ac:dyDescent="0.2">
      <c r="A31" s="4">
        <v>46181</v>
      </c>
      <c r="B31" s="3" t="str">
        <f t="shared" si="0"/>
        <v>P1</v>
      </c>
      <c r="C31" s="3">
        <v>52</v>
      </c>
      <c r="D31" s="11" t="s">
        <v>401</v>
      </c>
      <c r="E31" s="3" t="s">
        <v>436</v>
      </c>
      <c r="F31" s="3">
        <v>113.4</v>
      </c>
      <c r="G31" s="3"/>
      <c r="H31" s="3"/>
      <c r="I31" s="12" t="str">
        <f t="shared" si="1"/>
        <v/>
      </c>
      <c r="J31" s="3">
        <v>449</v>
      </c>
      <c r="K31" s="13">
        <f t="shared" si="2"/>
        <v>3.9594356261022927</v>
      </c>
    </row>
    <row r="32" spans="1:11" x14ac:dyDescent="0.2">
      <c r="A32" s="4">
        <v>46182</v>
      </c>
      <c r="B32" s="3" t="str">
        <f t="shared" si="0"/>
        <v>P1</v>
      </c>
      <c r="C32" s="3">
        <v>52</v>
      </c>
      <c r="D32" s="11" t="s">
        <v>401</v>
      </c>
      <c r="E32" s="3" t="s">
        <v>437</v>
      </c>
      <c r="F32" s="3">
        <v>72.8</v>
      </c>
      <c r="G32" s="3"/>
      <c r="H32" s="3"/>
      <c r="I32" s="12" t="str">
        <f t="shared" si="1"/>
        <v/>
      </c>
      <c r="J32" s="3">
        <v>359</v>
      </c>
      <c r="K32" s="13">
        <f t="shared" si="2"/>
        <v>4.9313186813186816</v>
      </c>
    </row>
    <row r="33" spans="1:11" x14ac:dyDescent="0.2">
      <c r="A33" s="4">
        <v>46183</v>
      </c>
      <c r="B33" s="3" t="str">
        <f t="shared" si="0"/>
        <v>P1</v>
      </c>
      <c r="C33" s="3">
        <v>85</v>
      </c>
      <c r="D33" s="11" t="s">
        <v>418</v>
      </c>
      <c r="E33" s="3" t="s">
        <v>438</v>
      </c>
      <c r="F33" s="3">
        <v>54.5</v>
      </c>
      <c r="G33" s="3"/>
      <c r="H33" s="3"/>
      <c r="I33" s="12" t="str">
        <f t="shared" si="1"/>
        <v/>
      </c>
      <c r="J33" s="3">
        <v>602</v>
      </c>
      <c r="K33" s="13">
        <f t="shared" si="2"/>
        <v>11.045871559633028</v>
      </c>
    </row>
    <row r="34" spans="1:11" x14ac:dyDescent="0.2">
      <c r="A34" s="4">
        <v>46184</v>
      </c>
      <c r="B34" s="3" t="str">
        <f t="shared" ref="B34:B65" si="3">IF(A34&lt;=DATE(2026,7,20),"P1","P2")</f>
        <v>P1</v>
      </c>
      <c r="C34" s="3">
        <v>52</v>
      </c>
      <c r="D34" s="11" t="s">
        <v>401</v>
      </c>
      <c r="E34" s="3" t="s">
        <v>439</v>
      </c>
      <c r="F34" s="3">
        <v>105.4</v>
      </c>
      <c r="G34" s="3"/>
      <c r="H34" s="3"/>
      <c r="I34" s="12" t="str">
        <f t="shared" ref="I34:I65" si="4">IF(AND(G34&gt;=500,H34&gt;0),H34*1000/60,"")</f>
        <v/>
      </c>
      <c r="J34" s="3">
        <v>531</v>
      </c>
      <c r="K34" s="13">
        <f t="shared" ref="K34:K65" si="5">IF(F34&gt;0,J34/F34,"")</f>
        <v>5.0379506641366225</v>
      </c>
    </row>
    <row r="35" spans="1:11" x14ac:dyDescent="0.2">
      <c r="A35" s="4">
        <v>46185</v>
      </c>
      <c r="B35" s="3" t="str">
        <f t="shared" si="3"/>
        <v>P1</v>
      </c>
      <c r="C35" s="3">
        <v>227</v>
      </c>
      <c r="D35" s="11" t="s">
        <v>413</v>
      </c>
      <c r="E35" s="3" t="s">
        <v>440</v>
      </c>
      <c r="F35" s="3">
        <v>73.2</v>
      </c>
      <c r="G35" s="3"/>
      <c r="H35" s="3"/>
      <c r="I35" s="12" t="str">
        <f t="shared" si="4"/>
        <v/>
      </c>
      <c r="J35" s="3">
        <v>436</v>
      </c>
      <c r="K35" s="13">
        <f t="shared" si="5"/>
        <v>5.9562841530054644</v>
      </c>
    </row>
    <row r="36" spans="1:11" x14ac:dyDescent="0.2">
      <c r="A36" s="4">
        <v>46186</v>
      </c>
      <c r="B36" s="3" t="str">
        <f t="shared" si="3"/>
        <v>P1</v>
      </c>
      <c r="C36" s="3">
        <v>52</v>
      </c>
      <c r="D36" s="11" t="s">
        <v>401</v>
      </c>
      <c r="E36" s="3" t="s">
        <v>441</v>
      </c>
      <c r="F36" s="3">
        <v>65</v>
      </c>
      <c r="G36" s="3"/>
      <c r="H36" s="3"/>
      <c r="I36" s="12" t="str">
        <f t="shared" si="4"/>
        <v/>
      </c>
      <c r="J36" s="3">
        <v>305</v>
      </c>
      <c r="K36" s="13">
        <f t="shared" si="5"/>
        <v>4.6923076923076925</v>
      </c>
    </row>
    <row r="37" spans="1:11" x14ac:dyDescent="0.2">
      <c r="A37" s="4">
        <v>46187</v>
      </c>
      <c r="B37" s="3" t="str">
        <f t="shared" si="3"/>
        <v>P1</v>
      </c>
      <c r="C37" s="3">
        <v>8</v>
      </c>
      <c r="D37" s="11" t="s">
        <v>410</v>
      </c>
      <c r="E37" s="3" t="s">
        <v>442</v>
      </c>
      <c r="F37" s="3">
        <v>37.6</v>
      </c>
      <c r="G37" s="3">
        <v>2835</v>
      </c>
      <c r="H37" s="3">
        <v>0.79435626102292767</v>
      </c>
      <c r="I37" s="12">
        <f t="shared" si="4"/>
        <v>13.239271017048795</v>
      </c>
      <c r="J37" s="3">
        <v>271.87429809570312</v>
      </c>
      <c r="K37" s="13">
        <f t="shared" si="5"/>
        <v>7.2306994174389123</v>
      </c>
    </row>
    <row r="38" spans="1:11" x14ac:dyDescent="0.2">
      <c r="A38" s="4">
        <v>46187</v>
      </c>
      <c r="B38" s="3" t="str">
        <f t="shared" si="3"/>
        <v>P1</v>
      </c>
      <c r="C38" s="3">
        <v>49</v>
      </c>
      <c r="D38" s="11" t="s">
        <v>403</v>
      </c>
      <c r="E38" s="3" t="s">
        <v>443</v>
      </c>
      <c r="F38" s="3">
        <v>108.4</v>
      </c>
      <c r="G38" s="3"/>
      <c r="H38" s="3"/>
      <c r="I38" s="12" t="str">
        <f t="shared" si="4"/>
        <v/>
      </c>
      <c r="J38" s="3">
        <v>1079</v>
      </c>
      <c r="K38" s="13">
        <f t="shared" si="5"/>
        <v>9.9538745387453869</v>
      </c>
    </row>
    <row r="39" spans="1:11" x14ac:dyDescent="0.2">
      <c r="A39" s="4">
        <v>46188</v>
      </c>
      <c r="B39" s="3" t="str">
        <f t="shared" si="3"/>
        <v>P1</v>
      </c>
      <c r="C39" s="3">
        <v>52</v>
      </c>
      <c r="D39" s="11" t="s">
        <v>401</v>
      </c>
      <c r="E39" s="3" t="s">
        <v>444</v>
      </c>
      <c r="F39" s="3">
        <v>44</v>
      </c>
      <c r="G39" s="3"/>
      <c r="H39" s="3"/>
      <c r="I39" s="12" t="str">
        <f t="shared" si="4"/>
        <v/>
      </c>
      <c r="J39" s="3">
        <v>301</v>
      </c>
      <c r="K39" s="13">
        <f t="shared" si="5"/>
        <v>6.8409090909090908</v>
      </c>
    </row>
    <row r="40" spans="1:11" x14ac:dyDescent="0.2">
      <c r="A40" s="4">
        <v>46190</v>
      </c>
      <c r="B40" s="3" t="str">
        <f t="shared" si="3"/>
        <v>P1</v>
      </c>
      <c r="C40" s="3">
        <v>1</v>
      </c>
      <c r="D40" s="11" t="s">
        <v>408</v>
      </c>
      <c r="E40" s="3" t="s">
        <v>445</v>
      </c>
      <c r="F40" s="3">
        <v>50.8</v>
      </c>
      <c r="G40" s="3">
        <v>8135</v>
      </c>
      <c r="H40" s="3">
        <v>0.373939766441303</v>
      </c>
      <c r="I40" s="12">
        <f t="shared" si="4"/>
        <v>6.2323294406883836</v>
      </c>
      <c r="J40" s="3">
        <v>642.255859375</v>
      </c>
      <c r="K40" s="13">
        <f t="shared" si="5"/>
        <v>12.642831877460631</v>
      </c>
    </row>
    <row r="41" spans="1:11" x14ac:dyDescent="0.2">
      <c r="A41" s="4">
        <v>46191</v>
      </c>
      <c r="B41" s="3" t="str">
        <f t="shared" si="3"/>
        <v>P1</v>
      </c>
      <c r="C41" s="3">
        <v>227</v>
      </c>
      <c r="D41" s="11" t="s">
        <v>413</v>
      </c>
      <c r="E41" s="3" t="s">
        <v>446</v>
      </c>
      <c r="F41" s="3">
        <v>270.89999999999998</v>
      </c>
      <c r="G41" s="3"/>
      <c r="H41" s="3"/>
      <c r="I41" s="12" t="str">
        <f t="shared" si="4"/>
        <v/>
      </c>
      <c r="J41" s="3">
        <v>864</v>
      </c>
      <c r="K41" s="13">
        <f t="shared" si="5"/>
        <v>3.1893687707641201</v>
      </c>
    </row>
    <row r="42" spans="1:11" x14ac:dyDescent="0.2">
      <c r="A42" s="4">
        <v>46192</v>
      </c>
      <c r="B42" s="3" t="str">
        <f t="shared" si="3"/>
        <v>P1</v>
      </c>
      <c r="C42" s="3">
        <v>52</v>
      </c>
      <c r="D42" s="11" t="s">
        <v>401</v>
      </c>
      <c r="E42" s="3" t="s">
        <v>447</v>
      </c>
      <c r="F42" s="3">
        <v>60</v>
      </c>
      <c r="G42" s="3"/>
      <c r="H42" s="3"/>
      <c r="I42" s="12" t="str">
        <f t="shared" si="4"/>
        <v/>
      </c>
      <c r="J42" s="3">
        <v>195</v>
      </c>
      <c r="K42" s="13">
        <f t="shared" si="5"/>
        <v>3.25</v>
      </c>
    </row>
    <row r="43" spans="1:11" x14ac:dyDescent="0.2">
      <c r="A43" s="4">
        <v>46193</v>
      </c>
      <c r="B43" s="3" t="str">
        <f t="shared" si="3"/>
        <v>P1</v>
      </c>
      <c r="C43" s="3">
        <v>52</v>
      </c>
      <c r="D43" s="11" t="s">
        <v>401</v>
      </c>
      <c r="E43" s="3" t="s">
        <v>448</v>
      </c>
      <c r="F43" s="3">
        <v>59.3</v>
      </c>
      <c r="G43" s="3"/>
      <c r="H43" s="3"/>
      <c r="I43" s="12" t="str">
        <f t="shared" si="4"/>
        <v/>
      </c>
      <c r="J43" s="3">
        <v>196</v>
      </c>
      <c r="K43" s="13">
        <f t="shared" si="5"/>
        <v>3.3052276559865095</v>
      </c>
    </row>
    <row r="44" spans="1:11" x14ac:dyDescent="0.2">
      <c r="A44" s="4">
        <v>46194</v>
      </c>
      <c r="B44" s="3" t="str">
        <f t="shared" si="3"/>
        <v>P1</v>
      </c>
      <c r="C44" s="3">
        <v>227</v>
      </c>
      <c r="D44" s="11" t="s">
        <v>413</v>
      </c>
      <c r="E44" s="3" t="s">
        <v>449</v>
      </c>
      <c r="F44" s="3">
        <v>61.7</v>
      </c>
      <c r="G44" s="3"/>
      <c r="H44" s="3"/>
      <c r="I44" s="12" t="str">
        <f t="shared" si="4"/>
        <v/>
      </c>
      <c r="J44" s="3">
        <v>367</v>
      </c>
      <c r="K44" s="13">
        <f t="shared" si="5"/>
        <v>5.9481361426256072</v>
      </c>
    </row>
    <row r="45" spans="1:11" x14ac:dyDescent="0.2">
      <c r="A45" s="4">
        <v>46195</v>
      </c>
      <c r="B45" s="3" t="str">
        <f t="shared" si="3"/>
        <v>P1</v>
      </c>
      <c r="C45" s="3">
        <v>52</v>
      </c>
      <c r="D45" s="11" t="s">
        <v>401</v>
      </c>
      <c r="E45" s="3" t="s">
        <v>450</v>
      </c>
      <c r="F45" s="3">
        <v>68.599999999999994</v>
      </c>
      <c r="G45" s="3"/>
      <c r="H45" s="3"/>
      <c r="I45" s="12" t="str">
        <f t="shared" si="4"/>
        <v/>
      </c>
      <c r="J45" s="3">
        <v>259</v>
      </c>
      <c r="K45" s="13">
        <f t="shared" si="5"/>
        <v>3.7755102040816331</v>
      </c>
    </row>
    <row r="46" spans="1:11" x14ac:dyDescent="0.2">
      <c r="A46" s="4">
        <v>46197</v>
      </c>
      <c r="B46" s="3" t="str">
        <f t="shared" si="3"/>
        <v>P1</v>
      </c>
      <c r="C46" s="3">
        <v>52</v>
      </c>
      <c r="D46" s="11" t="s">
        <v>401</v>
      </c>
      <c r="E46" s="3" t="s">
        <v>451</v>
      </c>
      <c r="F46" s="3">
        <v>52.1</v>
      </c>
      <c r="G46" s="3"/>
      <c r="H46" s="3"/>
      <c r="I46" s="12" t="str">
        <f t="shared" si="4"/>
        <v/>
      </c>
      <c r="J46" s="3">
        <v>288</v>
      </c>
      <c r="K46" s="13">
        <f t="shared" si="5"/>
        <v>5.5278310940499038</v>
      </c>
    </row>
    <row r="47" spans="1:11" x14ac:dyDescent="0.2">
      <c r="A47" s="4">
        <v>46198</v>
      </c>
      <c r="B47" s="3" t="str">
        <f t="shared" si="3"/>
        <v>P1</v>
      </c>
      <c r="C47" s="3">
        <v>52</v>
      </c>
      <c r="D47" s="11" t="s">
        <v>401</v>
      </c>
      <c r="E47" s="3" t="s">
        <v>452</v>
      </c>
      <c r="F47" s="3">
        <v>0</v>
      </c>
      <c r="G47" s="3"/>
      <c r="H47" s="3"/>
      <c r="I47" s="12" t="str">
        <f t="shared" si="4"/>
        <v/>
      </c>
      <c r="J47" s="3">
        <v>0</v>
      </c>
      <c r="K47" s="13" t="str">
        <f t="shared" si="5"/>
        <v/>
      </c>
    </row>
    <row r="48" spans="1:11" x14ac:dyDescent="0.2">
      <c r="A48" s="4">
        <v>46198</v>
      </c>
      <c r="B48" s="3" t="str">
        <f t="shared" si="3"/>
        <v>P1</v>
      </c>
      <c r="C48" s="3">
        <v>1</v>
      </c>
      <c r="D48" s="11" t="s">
        <v>408</v>
      </c>
      <c r="E48" s="3" t="s">
        <v>453</v>
      </c>
      <c r="F48" s="3">
        <v>59.2</v>
      </c>
      <c r="G48" s="3">
        <v>58</v>
      </c>
      <c r="H48" s="3">
        <v>61.206896551724142</v>
      </c>
      <c r="I48" s="12" t="str">
        <f t="shared" si="4"/>
        <v/>
      </c>
      <c r="J48" s="3">
        <v>10.65928363800049</v>
      </c>
      <c r="K48" s="13">
        <f t="shared" si="5"/>
        <v>0.18005546685811638</v>
      </c>
    </row>
    <row r="49" spans="1:11" x14ac:dyDescent="0.2">
      <c r="A49" s="4">
        <v>46199</v>
      </c>
      <c r="B49" s="3" t="str">
        <f t="shared" si="3"/>
        <v>P1</v>
      </c>
      <c r="C49" s="3">
        <v>52</v>
      </c>
      <c r="D49" s="11" t="s">
        <v>401</v>
      </c>
      <c r="E49" s="3" t="s">
        <v>454</v>
      </c>
      <c r="F49" s="3">
        <v>66.900000000000006</v>
      </c>
      <c r="G49" s="3"/>
      <c r="H49" s="3"/>
      <c r="I49" s="12" t="str">
        <f t="shared" si="4"/>
        <v/>
      </c>
      <c r="J49" s="3">
        <v>266</v>
      </c>
      <c r="K49" s="13">
        <f t="shared" si="5"/>
        <v>3.9760837070254107</v>
      </c>
    </row>
    <row r="50" spans="1:11" x14ac:dyDescent="0.2">
      <c r="A50" s="4">
        <v>46200</v>
      </c>
      <c r="B50" s="3" t="str">
        <f t="shared" si="3"/>
        <v>P1</v>
      </c>
      <c r="C50" s="3">
        <v>49</v>
      </c>
      <c r="D50" s="11" t="s">
        <v>403</v>
      </c>
      <c r="E50" s="3" t="s">
        <v>455</v>
      </c>
      <c r="F50" s="3">
        <v>105.4</v>
      </c>
      <c r="G50" s="3"/>
      <c r="H50" s="3"/>
      <c r="I50" s="12" t="str">
        <f t="shared" si="4"/>
        <v/>
      </c>
      <c r="J50" s="3">
        <v>1182</v>
      </c>
      <c r="K50" s="13">
        <f t="shared" si="5"/>
        <v>11.214421252371915</v>
      </c>
    </row>
    <row r="51" spans="1:11" x14ac:dyDescent="0.2">
      <c r="A51" s="4">
        <v>46201</v>
      </c>
      <c r="B51" s="3" t="str">
        <f t="shared" si="3"/>
        <v>P1</v>
      </c>
      <c r="C51" s="3">
        <v>1</v>
      </c>
      <c r="D51" s="11" t="s">
        <v>408</v>
      </c>
      <c r="E51" s="3" t="s">
        <v>456</v>
      </c>
      <c r="F51" s="3">
        <v>30.6</v>
      </c>
      <c r="G51" s="3">
        <v>4987</v>
      </c>
      <c r="H51" s="3">
        <v>0.36775616603168237</v>
      </c>
      <c r="I51" s="12">
        <f t="shared" si="4"/>
        <v>6.1292694338613725</v>
      </c>
      <c r="J51" s="3">
        <v>389.78338623046881</v>
      </c>
      <c r="K51" s="13">
        <f t="shared" si="5"/>
        <v>12.738019157858457</v>
      </c>
    </row>
    <row r="52" spans="1:11" x14ac:dyDescent="0.2">
      <c r="A52" s="4">
        <v>46201</v>
      </c>
      <c r="B52" s="3" t="str">
        <f t="shared" si="3"/>
        <v>P1</v>
      </c>
      <c r="C52" s="3">
        <v>10</v>
      </c>
      <c r="D52" s="11" t="s">
        <v>413</v>
      </c>
      <c r="E52" s="3" t="s">
        <v>457</v>
      </c>
      <c r="F52" s="3">
        <v>30</v>
      </c>
      <c r="G52" s="3"/>
      <c r="H52" s="3"/>
      <c r="I52" s="12" t="str">
        <f t="shared" si="4"/>
        <v/>
      </c>
      <c r="J52" s="3">
        <v>220</v>
      </c>
      <c r="K52" s="13">
        <f t="shared" si="5"/>
        <v>7.333333333333333</v>
      </c>
    </row>
    <row r="53" spans="1:11" x14ac:dyDescent="0.2">
      <c r="A53" s="4">
        <v>46203</v>
      </c>
      <c r="B53" s="3" t="str">
        <f t="shared" si="3"/>
        <v>P1</v>
      </c>
      <c r="C53" s="3">
        <v>52</v>
      </c>
      <c r="D53" s="11" t="s">
        <v>401</v>
      </c>
      <c r="E53" s="3" t="s">
        <v>458</v>
      </c>
      <c r="F53" s="3">
        <v>48.4</v>
      </c>
      <c r="G53" s="3"/>
      <c r="H53" s="3"/>
      <c r="I53" s="12" t="str">
        <f t="shared" si="4"/>
        <v/>
      </c>
      <c r="J53" s="3">
        <v>213</v>
      </c>
      <c r="K53" s="13">
        <f t="shared" si="5"/>
        <v>4.4008264462809921</v>
      </c>
    </row>
    <row r="54" spans="1:11" x14ac:dyDescent="0.2">
      <c r="A54" s="4">
        <v>46204</v>
      </c>
      <c r="B54" s="3" t="str">
        <f t="shared" si="3"/>
        <v>P1</v>
      </c>
      <c r="C54" s="3">
        <v>1</v>
      </c>
      <c r="D54" s="11" t="s">
        <v>408</v>
      </c>
      <c r="E54" s="3" t="s">
        <v>459</v>
      </c>
      <c r="F54" s="3">
        <v>104.1</v>
      </c>
      <c r="G54" s="3">
        <v>15559</v>
      </c>
      <c r="H54" s="3">
        <v>0.40118259528247319</v>
      </c>
      <c r="I54" s="12">
        <f t="shared" si="4"/>
        <v>6.6863765880412194</v>
      </c>
      <c r="J54" s="3">
        <v>1257.480224609375</v>
      </c>
      <c r="K54" s="13">
        <f t="shared" si="5"/>
        <v>12.079541062530019</v>
      </c>
    </row>
    <row r="55" spans="1:11" x14ac:dyDescent="0.2">
      <c r="A55" s="4">
        <v>46205</v>
      </c>
      <c r="B55" s="3" t="str">
        <f t="shared" si="3"/>
        <v>P1</v>
      </c>
      <c r="C55" s="3">
        <v>52</v>
      </c>
      <c r="D55" s="11" t="s">
        <v>401</v>
      </c>
      <c r="E55" s="3" t="s">
        <v>460</v>
      </c>
      <c r="F55" s="3">
        <v>36.700000000000003</v>
      </c>
      <c r="G55" s="3"/>
      <c r="H55" s="3"/>
      <c r="I55" s="12" t="str">
        <f t="shared" si="4"/>
        <v/>
      </c>
      <c r="J55" s="3">
        <v>179</v>
      </c>
      <c r="K55" s="13">
        <f t="shared" si="5"/>
        <v>4.877384196185286</v>
      </c>
    </row>
    <row r="56" spans="1:11" x14ac:dyDescent="0.2">
      <c r="A56" s="4">
        <v>46208</v>
      </c>
      <c r="B56" s="3" t="str">
        <f t="shared" si="3"/>
        <v>P1</v>
      </c>
      <c r="C56" s="3">
        <v>1</v>
      </c>
      <c r="D56" s="11" t="s">
        <v>408</v>
      </c>
      <c r="E56" s="3" t="s">
        <v>461</v>
      </c>
      <c r="F56" s="3">
        <v>136.4</v>
      </c>
      <c r="G56" s="3">
        <v>21457</v>
      </c>
      <c r="H56" s="3">
        <v>0.38136738593466002</v>
      </c>
      <c r="I56" s="12">
        <f t="shared" si="4"/>
        <v>6.3561230989110005</v>
      </c>
      <c r="J56" s="3">
        <v>1791.59033203125</v>
      </c>
      <c r="K56" s="13">
        <f t="shared" si="5"/>
        <v>13.134826481167522</v>
      </c>
    </row>
    <row r="57" spans="1:11" x14ac:dyDescent="0.2">
      <c r="A57" s="4">
        <v>46209</v>
      </c>
      <c r="B57" s="3" t="str">
        <f t="shared" si="3"/>
        <v>P1</v>
      </c>
      <c r="C57" s="3">
        <v>52</v>
      </c>
      <c r="D57" s="11" t="s">
        <v>401</v>
      </c>
      <c r="E57" s="3" t="s">
        <v>462</v>
      </c>
      <c r="F57" s="3">
        <v>76.7</v>
      </c>
      <c r="G57" s="3"/>
      <c r="H57" s="3"/>
      <c r="I57" s="12" t="str">
        <f t="shared" si="4"/>
        <v/>
      </c>
      <c r="J57" s="3">
        <v>300</v>
      </c>
      <c r="K57" s="13">
        <f t="shared" si="5"/>
        <v>3.9113428943937416</v>
      </c>
    </row>
    <row r="58" spans="1:11" x14ac:dyDescent="0.2">
      <c r="A58" s="4">
        <v>46211</v>
      </c>
      <c r="B58" s="3" t="str">
        <f t="shared" si="3"/>
        <v>P1</v>
      </c>
      <c r="C58" s="3">
        <v>52</v>
      </c>
      <c r="D58" s="11" t="s">
        <v>401</v>
      </c>
      <c r="E58" s="3" t="s">
        <v>463</v>
      </c>
      <c r="F58" s="3">
        <v>60.1</v>
      </c>
      <c r="G58" s="3"/>
      <c r="H58" s="3"/>
      <c r="I58" s="12" t="str">
        <f t="shared" si="4"/>
        <v/>
      </c>
      <c r="J58" s="3">
        <v>291</v>
      </c>
      <c r="K58" s="13">
        <f t="shared" si="5"/>
        <v>4.8419301164725459</v>
      </c>
    </row>
    <row r="59" spans="1:11" x14ac:dyDescent="0.2">
      <c r="A59" s="4">
        <v>46213</v>
      </c>
      <c r="B59" s="3" t="str">
        <f t="shared" si="3"/>
        <v>P1</v>
      </c>
      <c r="C59" s="3">
        <v>52</v>
      </c>
      <c r="D59" s="11" t="s">
        <v>401</v>
      </c>
      <c r="E59" s="3" t="s">
        <v>464</v>
      </c>
      <c r="F59" s="3">
        <v>49.3</v>
      </c>
      <c r="G59" s="3"/>
      <c r="H59" s="3"/>
      <c r="I59" s="12" t="str">
        <f t="shared" si="4"/>
        <v/>
      </c>
      <c r="J59" s="3">
        <v>247</v>
      </c>
      <c r="K59" s="13">
        <f t="shared" si="5"/>
        <v>5.0101419878296145</v>
      </c>
    </row>
    <row r="60" spans="1:11" x14ac:dyDescent="0.2">
      <c r="A60" s="4">
        <v>46214</v>
      </c>
      <c r="B60" s="3" t="str">
        <f t="shared" si="3"/>
        <v>P1</v>
      </c>
      <c r="C60" s="3">
        <v>52</v>
      </c>
      <c r="D60" s="11" t="s">
        <v>401</v>
      </c>
      <c r="E60" s="3" t="s">
        <v>465</v>
      </c>
      <c r="F60" s="3">
        <v>73.3</v>
      </c>
      <c r="G60" s="3"/>
      <c r="H60" s="3"/>
      <c r="I60" s="12" t="str">
        <f t="shared" si="4"/>
        <v/>
      </c>
      <c r="J60" s="3">
        <v>227</v>
      </c>
      <c r="K60" s="13">
        <f t="shared" si="5"/>
        <v>3.0968622100954981</v>
      </c>
    </row>
    <row r="61" spans="1:11" x14ac:dyDescent="0.2">
      <c r="A61" s="4">
        <v>46216</v>
      </c>
      <c r="B61" s="3" t="str">
        <f t="shared" si="3"/>
        <v>P1</v>
      </c>
      <c r="C61" s="3">
        <v>52</v>
      </c>
      <c r="D61" s="11" t="s">
        <v>401</v>
      </c>
      <c r="E61" s="3" t="s">
        <v>466</v>
      </c>
      <c r="F61" s="3">
        <v>48.4</v>
      </c>
      <c r="G61" s="3"/>
      <c r="H61" s="3"/>
      <c r="I61" s="12" t="str">
        <f t="shared" si="4"/>
        <v/>
      </c>
      <c r="J61" s="3">
        <v>252</v>
      </c>
      <c r="K61" s="13">
        <f t="shared" si="5"/>
        <v>5.2066115702479339</v>
      </c>
    </row>
    <row r="62" spans="1:11" x14ac:dyDescent="0.2">
      <c r="A62" s="4">
        <v>46217</v>
      </c>
      <c r="B62" s="3" t="str">
        <f t="shared" si="3"/>
        <v>P1</v>
      </c>
      <c r="C62" s="3">
        <v>52</v>
      </c>
      <c r="D62" s="11" t="s">
        <v>401</v>
      </c>
      <c r="E62" s="3" t="s">
        <v>467</v>
      </c>
      <c r="F62" s="3">
        <v>68.2</v>
      </c>
      <c r="G62" s="3"/>
      <c r="H62" s="3"/>
      <c r="I62" s="12" t="str">
        <f t="shared" si="4"/>
        <v/>
      </c>
      <c r="J62" s="3">
        <v>325</v>
      </c>
      <c r="K62" s="13">
        <f t="shared" si="5"/>
        <v>4.7653958944281527</v>
      </c>
    </row>
    <row r="63" spans="1:11" x14ac:dyDescent="0.2">
      <c r="A63" s="4">
        <v>46219</v>
      </c>
      <c r="B63" s="3" t="str">
        <f t="shared" si="3"/>
        <v>P1</v>
      </c>
      <c r="C63" s="3">
        <v>52</v>
      </c>
      <c r="D63" s="11" t="s">
        <v>401</v>
      </c>
      <c r="E63" s="3" t="s">
        <v>468</v>
      </c>
      <c r="F63" s="3">
        <v>71</v>
      </c>
      <c r="G63" s="3"/>
      <c r="H63" s="3"/>
      <c r="I63" s="12" t="str">
        <f t="shared" si="4"/>
        <v/>
      </c>
      <c r="J63" s="3">
        <v>365</v>
      </c>
      <c r="K63" s="13">
        <f t="shared" si="5"/>
        <v>5.140845070422535</v>
      </c>
    </row>
    <row r="64" spans="1:11" x14ac:dyDescent="0.2">
      <c r="A64" s="4">
        <v>46220</v>
      </c>
      <c r="B64" s="3" t="str">
        <f t="shared" si="3"/>
        <v>P1</v>
      </c>
      <c r="C64" s="3">
        <v>1</v>
      </c>
      <c r="D64" s="11" t="s">
        <v>408</v>
      </c>
      <c r="E64" s="3" t="s">
        <v>469</v>
      </c>
      <c r="F64" s="3">
        <v>11.1</v>
      </c>
      <c r="G64" s="3">
        <v>1373</v>
      </c>
      <c r="H64" s="3">
        <v>0.48506919155134742</v>
      </c>
      <c r="I64" s="12">
        <f t="shared" si="4"/>
        <v>8.084486525855791</v>
      </c>
      <c r="J64" s="3">
        <v>106.2595672607422</v>
      </c>
      <c r="K64" s="13">
        <f t="shared" si="5"/>
        <v>9.5729339874542525</v>
      </c>
    </row>
    <row r="65" spans="1:11" x14ac:dyDescent="0.2">
      <c r="A65" s="4">
        <v>46220</v>
      </c>
      <c r="B65" s="3" t="str">
        <f t="shared" si="3"/>
        <v>P1</v>
      </c>
      <c r="C65" s="3">
        <v>227</v>
      </c>
      <c r="D65" s="11" t="s">
        <v>413</v>
      </c>
      <c r="E65" s="3" t="s">
        <v>470</v>
      </c>
      <c r="F65" s="3">
        <v>47.8</v>
      </c>
      <c r="G65" s="3"/>
      <c r="H65" s="3"/>
      <c r="I65" s="12" t="str">
        <f t="shared" si="4"/>
        <v/>
      </c>
      <c r="J65" s="3">
        <v>269</v>
      </c>
      <c r="K65" s="13">
        <f t="shared" si="5"/>
        <v>5.6276150627615067</v>
      </c>
    </row>
    <row r="66" spans="1:11" x14ac:dyDescent="0.2">
      <c r="A66" s="4">
        <v>46221</v>
      </c>
      <c r="B66" s="3" t="str">
        <f t="shared" ref="B66:B97" si="6">IF(A66&lt;=DATE(2026,7,20),"P1","P2")</f>
        <v>P1</v>
      </c>
      <c r="C66" s="3">
        <v>49</v>
      </c>
      <c r="D66" s="11" t="s">
        <v>403</v>
      </c>
      <c r="E66" s="3" t="s">
        <v>471</v>
      </c>
      <c r="F66" s="3">
        <v>94.2</v>
      </c>
      <c r="G66" s="3"/>
      <c r="H66" s="3"/>
      <c r="I66" s="12" t="str">
        <f t="shared" ref="I66:I97" si="7">IF(AND(G66&gt;=500,H66&gt;0),H66*1000/60,"")</f>
        <v/>
      </c>
      <c r="J66" s="3">
        <v>1123</v>
      </c>
      <c r="K66" s="13">
        <f t="shared" ref="K66:K97" si="8">IF(F66&gt;0,J66/F66,"")</f>
        <v>11.92144373673036</v>
      </c>
    </row>
    <row r="67" spans="1:11" x14ac:dyDescent="0.2">
      <c r="A67" s="4">
        <v>46222</v>
      </c>
      <c r="B67" s="3" t="str">
        <f t="shared" si="6"/>
        <v>P1</v>
      </c>
      <c r="C67" s="3">
        <v>227</v>
      </c>
      <c r="D67" s="11" t="s">
        <v>413</v>
      </c>
      <c r="E67" s="3" t="s">
        <v>472</v>
      </c>
      <c r="F67" s="3">
        <v>31.5</v>
      </c>
      <c r="G67" s="3"/>
      <c r="H67" s="3"/>
      <c r="I67" s="12" t="str">
        <f t="shared" si="7"/>
        <v/>
      </c>
      <c r="J67" s="3">
        <v>171</v>
      </c>
      <c r="K67" s="13">
        <f t="shared" si="8"/>
        <v>5.4285714285714288</v>
      </c>
    </row>
    <row r="68" spans="1:11" x14ac:dyDescent="0.2">
      <c r="A68" s="4">
        <v>46224</v>
      </c>
      <c r="B68" s="3" t="str">
        <f t="shared" si="6"/>
        <v>P2</v>
      </c>
      <c r="C68" s="3">
        <v>52</v>
      </c>
      <c r="D68" s="11" t="s">
        <v>401</v>
      </c>
      <c r="E68" s="3" t="s">
        <v>473</v>
      </c>
      <c r="F68" s="3">
        <v>64.2</v>
      </c>
      <c r="G68" s="3"/>
      <c r="H68" s="3"/>
      <c r="I68" s="12" t="str">
        <f t="shared" si="7"/>
        <v/>
      </c>
      <c r="J68" s="3">
        <v>295</v>
      </c>
      <c r="K68" s="13">
        <f t="shared" si="8"/>
        <v>4.5950155763239877</v>
      </c>
    </row>
    <row r="69" spans="1:11" x14ac:dyDescent="0.2">
      <c r="A69" s="4">
        <v>46225</v>
      </c>
      <c r="B69" s="3" t="str">
        <f t="shared" si="6"/>
        <v>P2</v>
      </c>
      <c r="C69" s="3">
        <v>52</v>
      </c>
      <c r="D69" s="11" t="s">
        <v>401</v>
      </c>
      <c r="E69" s="3" t="s">
        <v>474</v>
      </c>
      <c r="F69" s="3">
        <v>53.5</v>
      </c>
      <c r="G69" s="3"/>
      <c r="H69" s="3"/>
      <c r="I69" s="12" t="str">
        <f t="shared" si="7"/>
        <v/>
      </c>
      <c r="J69" s="3">
        <v>238</v>
      </c>
      <c r="K69" s="13">
        <f t="shared" si="8"/>
        <v>4.4485981308411215</v>
      </c>
    </row>
    <row r="70" spans="1:11" x14ac:dyDescent="0.2">
      <c r="A70" s="4">
        <v>46225</v>
      </c>
      <c r="B70" s="3" t="str">
        <f t="shared" si="6"/>
        <v>P2</v>
      </c>
      <c r="C70" s="3">
        <v>49</v>
      </c>
      <c r="D70" s="11" t="s">
        <v>403</v>
      </c>
      <c r="E70" s="3" t="s">
        <v>475</v>
      </c>
      <c r="F70" s="3">
        <v>62.9</v>
      </c>
      <c r="G70" s="3"/>
      <c r="H70" s="3"/>
      <c r="I70" s="12" t="str">
        <f t="shared" si="7"/>
        <v/>
      </c>
      <c r="J70" s="3">
        <v>716</v>
      </c>
      <c r="K70" s="13">
        <f t="shared" si="8"/>
        <v>11.383147853736089</v>
      </c>
    </row>
    <row r="71" spans="1:11" x14ac:dyDescent="0.2">
      <c r="A71" s="4">
        <v>46228</v>
      </c>
      <c r="B71" s="3" t="str">
        <f t="shared" si="6"/>
        <v>P2</v>
      </c>
      <c r="C71" s="3">
        <v>49</v>
      </c>
      <c r="D71" s="11" t="s">
        <v>403</v>
      </c>
      <c r="E71" s="3" t="s">
        <v>476</v>
      </c>
      <c r="F71" s="3">
        <v>51.2</v>
      </c>
      <c r="G71" s="3"/>
      <c r="H71" s="3"/>
      <c r="I71" s="12" t="str">
        <f t="shared" si="7"/>
        <v/>
      </c>
      <c r="J71" s="3">
        <v>601</v>
      </c>
      <c r="K71" s="13">
        <f t="shared" si="8"/>
        <v>11.73828125</v>
      </c>
    </row>
    <row r="72" spans="1:11" x14ac:dyDescent="0.2">
      <c r="A72" s="4">
        <v>46228</v>
      </c>
      <c r="B72" s="3" t="str">
        <f t="shared" si="6"/>
        <v>P2</v>
      </c>
      <c r="C72" s="3">
        <v>49</v>
      </c>
      <c r="D72" s="11" t="s">
        <v>403</v>
      </c>
      <c r="E72" s="3" t="s">
        <v>477</v>
      </c>
      <c r="F72" s="3">
        <v>47.8</v>
      </c>
      <c r="G72" s="3"/>
      <c r="H72" s="3"/>
      <c r="I72" s="12" t="str">
        <f t="shared" si="7"/>
        <v/>
      </c>
      <c r="J72" s="3">
        <v>555</v>
      </c>
      <c r="K72" s="13">
        <f t="shared" si="8"/>
        <v>11.610878661087867</v>
      </c>
    </row>
    <row r="73" spans="1:11" x14ac:dyDescent="0.2">
      <c r="A73" s="4">
        <v>46230</v>
      </c>
      <c r="B73" s="3" t="str">
        <f t="shared" si="6"/>
        <v>P2</v>
      </c>
      <c r="C73" s="3">
        <v>52</v>
      </c>
      <c r="D73" s="11" t="s">
        <v>401</v>
      </c>
      <c r="E73" s="3" t="s">
        <v>478</v>
      </c>
      <c r="F73" s="3">
        <v>55.9</v>
      </c>
      <c r="G73" s="3"/>
      <c r="H73" s="3"/>
      <c r="I73" s="12" t="str">
        <f t="shared" si="7"/>
        <v/>
      </c>
      <c r="J73" s="3">
        <v>339</v>
      </c>
      <c r="K73" s="13">
        <f t="shared" si="8"/>
        <v>6.0644007155635062</v>
      </c>
    </row>
    <row r="74" spans="1:11" x14ac:dyDescent="0.2">
      <c r="A74" s="4">
        <v>46232</v>
      </c>
      <c r="B74" s="3" t="str">
        <f t="shared" si="6"/>
        <v>P2</v>
      </c>
      <c r="C74" s="3">
        <v>1</v>
      </c>
      <c r="D74" s="11" t="s">
        <v>408</v>
      </c>
      <c r="E74" s="3" t="s">
        <v>479</v>
      </c>
      <c r="F74" s="3">
        <v>20.9</v>
      </c>
      <c r="G74" s="3">
        <v>4018</v>
      </c>
      <c r="H74" s="3">
        <v>0.31209556993529119</v>
      </c>
      <c r="I74" s="12">
        <f t="shared" si="7"/>
        <v>5.2015928322548541</v>
      </c>
      <c r="J74" s="3">
        <v>274.66470336914062</v>
      </c>
      <c r="K74" s="13">
        <f t="shared" si="8"/>
        <v>13.141851835844051</v>
      </c>
    </row>
    <row r="75" spans="1:11" x14ac:dyDescent="0.2">
      <c r="A75" s="4">
        <v>46232</v>
      </c>
      <c r="B75" s="3" t="str">
        <f t="shared" si="6"/>
        <v>P2</v>
      </c>
      <c r="C75" s="3">
        <v>52</v>
      </c>
      <c r="D75" s="11" t="s">
        <v>401</v>
      </c>
      <c r="E75" s="3" t="s">
        <v>480</v>
      </c>
      <c r="F75" s="3">
        <v>56.6</v>
      </c>
      <c r="G75" s="3"/>
      <c r="H75" s="3"/>
      <c r="I75" s="12" t="str">
        <f t="shared" si="7"/>
        <v/>
      </c>
      <c r="J75" s="3">
        <v>214</v>
      </c>
      <c r="K75" s="13">
        <f t="shared" si="8"/>
        <v>3.7809187279151941</v>
      </c>
    </row>
    <row r="76" spans="1:11" x14ac:dyDescent="0.2">
      <c r="A76" s="4">
        <v>46232</v>
      </c>
      <c r="B76" s="3" t="str">
        <f t="shared" si="6"/>
        <v>P2</v>
      </c>
      <c r="C76" s="3">
        <v>49</v>
      </c>
      <c r="D76" s="11" t="s">
        <v>403</v>
      </c>
      <c r="E76" s="3" t="s">
        <v>481</v>
      </c>
      <c r="F76" s="3">
        <v>113.7</v>
      </c>
      <c r="G76" s="3"/>
      <c r="H76" s="3"/>
      <c r="I76" s="12" t="str">
        <f t="shared" si="7"/>
        <v/>
      </c>
      <c r="J76" s="3">
        <v>1319</v>
      </c>
      <c r="K76" s="13">
        <f t="shared" si="8"/>
        <v>11.60070360598065</v>
      </c>
    </row>
    <row r="77" spans="1:11" x14ac:dyDescent="0.2">
      <c r="A77" s="4">
        <v>46233</v>
      </c>
      <c r="B77" s="3" t="str">
        <f t="shared" si="6"/>
        <v>P2</v>
      </c>
      <c r="C77" s="3">
        <v>52</v>
      </c>
      <c r="D77" s="11" t="s">
        <v>401</v>
      </c>
      <c r="E77" s="3" t="s">
        <v>482</v>
      </c>
      <c r="F77" s="3">
        <v>18.399999999999999</v>
      </c>
      <c r="G77" s="3"/>
      <c r="H77" s="3"/>
      <c r="I77" s="12" t="str">
        <f t="shared" si="7"/>
        <v/>
      </c>
      <c r="J77" s="3">
        <v>72</v>
      </c>
      <c r="K77" s="13">
        <f t="shared" si="8"/>
        <v>3.9130434782608701</v>
      </c>
    </row>
    <row r="78" spans="1:11" x14ac:dyDescent="0.2">
      <c r="A78" s="4">
        <v>46233</v>
      </c>
      <c r="B78" s="3" t="str">
        <f t="shared" si="6"/>
        <v>P2</v>
      </c>
      <c r="C78" s="3">
        <v>8</v>
      </c>
      <c r="D78" s="11" t="s">
        <v>410</v>
      </c>
      <c r="E78" s="3" t="s">
        <v>483</v>
      </c>
      <c r="F78" s="3">
        <v>26.6</v>
      </c>
      <c r="G78" s="3">
        <v>2005</v>
      </c>
      <c r="H78" s="3">
        <v>0.7950124688279302</v>
      </c>
      <c r="I78" s="12">
        <f t="shared" si="7"/>
        <v>13.250207813798836</v>
      </c>
      <c r="J78" s="3">
        <v>187.3037109375</v>
      </c>
      <c r="K78" s="13">
        <f t="shared" si="8"/>
        <v>7.0414928923872173</v>
      </c>
    </row>
    <row r="79" spans="1:11" x14ac:dyDescent="0.2">
      <c r="A79" s="4">
        <v>46234</v>
      </c>
      <c r="B79" s="3" t="str">
        <f t="shared" si="6"/>
        <v>P2</v>
      </c>
      <c r="C79" s="3">
        <v>52</v>
      </c>
      <c r="D79" s="11" t="s">
        <v>401</v>
      </c>
      <c r="E79" s="3" t="s">
        <v>484</v>
      </c>
      <c r="F79" s="3">
        <v>67.8</v>
      </c>
      <c r="G79" s="3"/>
      <c r="H79" s="3"/>
      <c r="I79" s="12" t="str">
        <f t="shared" si="7"/>
        <v/>
      </c>
      <c r="J79" s="3">
        <v>202</v>
      </c>
      <c r="K79" s="13">
        <f t="shared" si="8"/>
        <v>2.9793510324483776</v>
      </c>
    </row>
    <row r="80" spans="1:11" x14ac:dyDescent="0.2">
      <c r="A80" s="4">
        <v>46234</v>
      </c>
      <c r="B80" s="3" t="str">
        <f t="shared" si="6"/>
        <v>P2</v>
      </c>
      <c r="C80" s="3">
        <v>49</v>
      </c>
      <c r="D80" s="11" t="s">
        <v>403</v>
      </c>
      <c r="E80" s="3" t="s">
        <v>485</v>
      </c>
      <c r="F80" s="3">
        <v>55.2</v>
      </c>
      <c r="G80" s="3"/>
      <c r="H80" s="3"/>
      <c r="I80" s="12" t="str">
        <f t="shared" si="7"/>
        <v/>
      </c>
      <c r="J80" s="3">
        <v>606</v>
      </c>
      <c r="K80" s="13">
        <f t="shared" si="8"/>
        <v>10.978260869565217</v>
      </c>
    </row>
    <row r="81" spans="1:11" x14ac:dyDescent="0.2">
      <c r="A81" s="4">
        <v>46240</v>
      </c>
      <c r="B81" s="3" t="str">
        <f t="shared" si="6"/>
        <v>P2</v>
      </c>
      <c r="C81" s="3">
        <v>52</v>
      </c>
      <c r="D81" s="11" t="s">
        <v>401</v>
      </c>
      <c r="E81" s="3" t="s">
        <v>486</v>
      </c>
      <c r="F81" s="3">
        <v>40.799999999999997</v>
      </c>
      <c r="G81" s="3"/>
      <c r="H81" s="3"/>
      <c r="I81" s="12" t="str">
        <f t="shared" si="7"/>
        <v/>
      </c>
      <c r="J81" s="3">
        <v>116</v>
      </c>
      <c r="K81" s="13">
        <f t="shared" si="8"/>
        <v>2.8431372549019609</v>
      </c>
    </row>
    <row r="82" spans="1:11" x14ac:dyDescent="0.2">
      <c r="A82" s="4">
        <v>46241</v>
      </c>
      <c r="B82" s="3" t="str">
        <f t="shared" si="6"/>
        <v>P2</v>
      </c>
      <c r="C82" s="3">
        <v>49</v>
      </c>
      <c r="D82" s="11" t="s">
        <v>403</v>
      </c>
      <c r="E82" s="3" t="s">
        <v>487</v>
      </c>
      <c r="F82" s="3">
        <v>50.8</v>
      </c>
      <c r="G82" s="3"/>
      <c r="H82" s="3"/>
      <c r="I82" s="12" t="str">
        <f t="shared" si="7"/>
        <v/>
      </c>
      <c r="J82" s="3">
        <v>547</v>
      </c>
      <c r="K82" s="13">
        <f t="shared" si="8"/>
        <v>10.767716535433072</v>
      </c>
    </row>
    <row r="83" spans="1:11" x14ac:dyDescent="0.2">
      <c r="A83" s="4">
        <v>46242</v>
      </c>
      <c r="B83" s="3" t="str">
        <f t="shared" si="6"/>
        <v>P2</v>
      </c>
      <c r="C83" s="3">
        <v>1</v>
      </c>
      <c r="D83" s="11" t="s">
        <v>408</v>
      </c>
      <c r="E83" s="3" t="s">
        <v>488</v>
      </c>
      <c r="F83" s="3">
        <v>49.9</v>
      </c>
      <c r="G83" s="3">
        <v>4664</v>
      </c>
      <c r="H83" s="3">
        <v>0.64108061749571188</v>
      </c>
      <c r="I83" s="12">
        <f t="shared" si="7"/>
        <v>10.684676958261864</v>
      </c>
      <c r="J83" s="3">
        <v>368.60299682617188</v>
      </c>
      <c r="K83" s="13">
        <f t="shared" si="8"/>
        <v>7.3868336037308993</v>
      </c>
    </row>
    <row r="84" spans="1:11" x14ac:dyDescent="0.2">
      <c r="A84" s="4">
        <v>46242</v>
      </c>
      <c r="B84" s="3" t="str">
        <f t="shared" si="6"/>
        <v>P2</v>
      </c>
      <c r="C84" s="3">
        <v>49</v>
      </c>
      <c r="D84" s="11" t="s">
        <v>403</v>
      </c>
      <c r="E84" s="3" t="s">
        <v>489</v>
      </c>
      <c r="F84" s="3">
        <v>103.3</v>
      </c>
      <c r="G84" s="3"/>
      <c r="H84" s="3"/>
      <c r="I84" s="12" t="str">
        <f t="shared" si="7"/>
        <v/>
      </c>
      <c r="J84" s="3">
        <v>946</v>
      </c>
      <c r="K84" s="13">
        <f t="shared" si="8"/>
        <v>9.1577928363988388</v>
      </c>
    </row>
    <row r="85" spans="1:11" x14ac:dyDescent="0.2">
      <c r="A85" s="4">
        <v>46243</v>
      </c>
      <c r="B85" s="3" t="str">
        <f t="shared" si="6"/>
        <v>P2</v>
      </c>
      <c r="C85" s="3">
        <v>9</v>
      </c>
      <c r="D85" s="11" t="s">
        <v>490</v>
      </c>
      <c r="E85" s="3" t="s">
        <v>491</v>
      </c>
      <c r="F85" s="3">
        <v>75.8</v>
      </c>
      <c r="G85" s="3">
        <v>21060</v>
      </c>
      <c r="H85" s="3">
        <v>0.21585944919278249</v>
      </c>
      <c r="I85" s="12">
        <f t="shared" si="7"/>
        <v>3.5976574865463751</v>
      </c>
      <c r="J85" s="3">
        <v>533.68170166015625</v>
      </c>
      <c r="K85" s="13">
        <f t="shared" si="8"/>
        <v>7.0406556947250172</v>
      </c>
    </row>
    <row r="86" spans="1:11" x14ac:dyDescent="0.2">
      <c r="A86" s="4">
        <v>46243</v>
      </c>
      <c r="B86" s="3" t="str">
        <f t="shared" si="6"/>
        <v>P2</v>
      </c>
      <c r="C86" s="3">
        <v>85</v>
      </c>
      <c r="D86" s="11" t="s">
        <v>418</v>
      </c>
      <c r="E86" s="3" t="s">
        <v>492</v>
      </c>
      <c r="F86" s="3">
        <v>12.7</v>
      </c>
      <c r="G86" s="3"/>
      <c r="H86" s="3"/>
      <c r="I86" s="12" t="str">
        <f t="shared" si="7"/>
        <v/>
      </c>
      <c r="J86" s="3">
        <v>103</v>
      </c>
      <c r="K86" s="13">
        <f t="shared" si="8"/>
        <v>8.1102362204724407</v>
      </c>
    </row>
    <row r="87" spans="1:11" x14ac:dyDescent="0.2">
      <c r="A87" s="4">
        <v>46243</v>
      </c>
      <c r="B87" s="3" t="str">
        <f t="shared" si="6"/>
        <v>P2</v>
      </c>
      <c r="C87" s="3">
        <v>85</v>
      </c>
      <c r="D87" s="11" t="s">
        <v>418</v>
      </c>
      <c r="E87" s="3" t="s">
        <v>493</v>
      </c>
      <c r="F87" s="3">
        <v>9.9</v>
      </c>
      <c r="G87" s="3"/>
      <c r="H87" s="3"/>
      <c r="I87" s="12" t="str">
        <f t="shared" si="7"/>
        <v/>
      </c>
      <c r="J87" s="3">
        <v>109</v>
      </c>
      <c r="K87" s="13">
        <f t="shared" si="8"/>
        <v>11.01010101010101</v>
      </c>
    </row>
    <row r="88" spans="1:11" x14ac:dyDescent="0.2">
      <c r="A88" s="4">
        <v>46244</v>
      </c>
      <c r="B88" s="3" t="str">
        <f t="shared" si="6"/>
        <v>P2</v>
      </c>
      <c r="C88" s="3">
        <v>52</v>
      </c>
      <c r="D88" s="11" t="s">
        <v>401</v>
      </c>
      <c r="E88" s="3" t="s">
        <v>494</v>
      </c>
      <c r="F88" s="3">
        <v>42.5</v>
      </c>
      <c r="G88" s="3"/>
      <c r="H88" s="3"/>
      <c r="I88" s="12" t="str">
        <f t="shared" si="7"/>
        <v/>
      </c>
      <c r="J88" s="3">
        <v>102</v>
      </c>
      <c r="K88" s="13">
        <f t="shared" si="8"/>
        <v>2.4</v>
      </c>
    </row>
    <row r="89" spans="1:11" x14ac:dyDescent="0.2">
      <c r="A89" s="4">
        <v>46245</v>
      </c>
      <c r="B89" s="3" t="str">
        <f t="shared" si="6"/>
        <v>P2</v>
      </c>
      <c r="C89" s="3">
        <v>52</v>
      </c>
      <c r="D89" s="11" t="s">
        <v>401</v>
      </c>
      <c r="E89" s="3" t="s">
        <v>495</v>
      </c>
      <c r="F89" s="3">
        <v>47.5</v>
      </c>
      <c r="G89" s="3"/>
      <c r="H89" s="3"/>
      <c r="I89" s="12" t="str">
        <f t="shared" si="7"/>
        <v/>
      </c>
      <c r="J89" s="3">
        <v>163</v>
      </c>
      <c r="K89" s="13">
        <f t="shared" si="8"/>
        <v>3.4315789473684211</v>
      </c>
    </row>
    <row r="90" spans="1:11" x14ac:dyDescent="0.2">
      <c r="A90" s="4">
        <v>46246</v>
      </c>
      <c r="B90" s="3" t="str">
        <f t="shared" si="6"/>
        <v>P2</v>
      </c>
      <c r="C90" s="3">
        <v>8</v>
      </c>
      <c r="D90" s="11" t="s">
        <v>410</v>
      </c>
      <c r="E90" s="3" t="s">
        <v>496</v>
      </c>
      <c r="F90" s="3">
        <v>51.4</v>
      </c>
      <c r="G90" s="3">
        <v>3592</v>
      </c>
      <c r="H90" s="3">
        <v>0.86859688195991092</v>
      </c>
      <c r="I90" s="12">
        <f t="shared" si="7"/>
        <v>14.476614699331849</v>
      </c>
      <c r="J90" s="3">
        <v>335.21481323242188</v>
      </c>
      <c r="K90" s="13">
        <f t="shared" si="8"/>
        <v>6.521688973393422</v>
      </c>
    </row>
    <row r="91" spans="1:11" x14ac:dyDescent="0.2">
      <c r="A91" s="4">
        <v>46246</v>
      </c>
      <c r="B91" s="3" t="str">
        <f t="shared" si="6"/>
        <v>P2</v>
      </c>
      <c r="C91" s="3">
        <v>49</v>
      </c>
      <c r="D91" s="11" t="s">
        <v>403</v>
      </c>
      <c r="E91" s="3" t="s">
        <v>497</v>
      </c>
      <c r="F91" s="3">
        <v>49.9</v>
      </c>
      <c r="G91" s="3"/>
      <c r="H91" s="3"/>
      <c r="I91" s="12" t="str">
        <f t="shared" si="7"/>
        <v/>
      </c>
      <c r="J91" s="3">
        <v>623</v>
      </c>
      <c r="K91" s="13">
        <f t="shared" si="8"/>
        <v>12.484969939879759</v>
      </c>
    </row>
    <row r="92" spans="1:11" x14ac:dyDescent="0.2">
      <c r="A92" s="4">
        <v>46247</v>
      </c>
      <c r="B92" s="3" t="str">
        <f t="shared" si="6"/>
        <v>P2</v>
      </c>
      <c r="C92" s="3">
        <v>52</v>
      </c>
      <c r="D92" s="11" t="s">
        <v>401</v>
      </c>
      <c r="E92" s="3" t="s">
        <v>498</v>
      </c>
      <c r="F92" s="3">
        <v>62.4</v>
      </c>
      <c r="G92" s="3"/>
      <c r="H92" s="3"/>
      <c r="I92" s="12" t="str">
        <f t="shared" si="7"/>
        <v/>
      </c>
      <c r="J92" s="3">
        <v>219</v>
      </c>
      <c r="K92" s="13">
        <f t="shared" si="8"/>
        <v>3.5096153846153846</v>
      </c>
    </row>
    <row r="93" spans="1:11" x14ac:dyDescent="0.2">
      <c r="A93" s="4">
        <v>46248</v>
      </c>
      <c r="B93" s="3" t="str">
        <f t="shared" si="6"/>
        <v>P2</v>
      </c>
      <c r="C93" s="3">
        <v>52</v>
      </c>
      <c r="D93" s="11" t="s">
        <v>401</v>
      </c>
      <c r="E93" s="3" t="s">
        <v>499</v>
      </c>
      <c r="F93" s="3">
        <v>76.099999999999994</v>
      </c>
      <c r="G93" s="3"/>
      <c r="H93" s="3"/>
      <c r="I93" s="12" t="str">
        <f t="shared" si="7"/>
        <v/>
      </c>
      <c r="J93" s="3">
        <v>453</v>
      </c>
      <c r="K93" s="13">
        <f t="shared" si="8"/>
        <v>5.9526938239159009</v>
      </c>
    </row>
    <row r="94" spans="1:11" x14ac:dyDescent="0.2">
      <c r="A94" s="4">
        <v>46248</v>
      </c>
      <c r="B94" s="3" t="str">
        <f t="shared" si="6"/>
        <v>P2</v>
      </c>
      <c r="C94" s="3">
        <v>49</v>
      </c>
      <c r="D94" s="11" t="s">
        <v>403</v>
      </c>
      <c r="E94" s="3" t="s">
        <v>500</v>
      </c>
      <c r="F94" s="3">
        <v>71.2</v>
      </c>
      <c r="G94" s="3"/>
      <c r="H94" s="3"/>
      <c r="I94" s="12" t="str">
        <f t="shared" si="7"/>
        <v/>
      </c>
      <c r="J94" s="3">
        <v>726</v>
      </c>
      <c r="K94" s="13">
        <f t="shared" si="8"/>
        <v>10.196629213483146</v>
      </c>
    </row>
    <row r="95" spans="1:11" x14ac:dyDescent="0.2">
      <c r="A95" s="4">
        <v>46251</v>
      </c>
      <c r="B95" s="3" t="str">
        <f t="shared" si="6"/>
        <v>P2</v>
      </c>
      <c r="C95" s="3">
        <v>227</v>
      </c>
      <c r="D95" s="11" t="s">
        <v>413</v>
      </c>
      <c r="E95" s="3" t="s">
        <v>501</v>
      </c>
      <c r="F95" s="3">
        <v>51.8</v>
      </c>
      <c r="G95" s="3"/>
      <c r="H95" s="3"/>
      <c r="I95" s="12" t="str">
        <f t="shared" si="7"/>
        <v/>
      </c>
      <c r="J95" s="3">
        <v>329</v>
      </c>
      <c r="K95" s="13">
        <f t="shared" si="8"/>
        <v>6.3513513513513518</v>
      </c>
    </row>
    <row r="96" spans="1:11" x14ac:dyDescent="0.2">
      <c r="A96" s="4">
        <v>46251</v>
      </c>
      <c r="B96" s="3" t="str">
        <f t="shared" si="6"/>
        <v>P2</v>
      </c>
      <c r="C96" s="3">
        <v>52</v>
      </c>
      <c r="D96" s="11" t="s">
        <v>401</v>
      </c>
      <c r="E96" s="3" t="s">
        <v>502</v>
      </c>
      <c r="F96" s="3">
        <v>50.8</v>
      </c>
      <c r="G96" s="3"/>
      <c r="H96" s="3"/>
      <c r="I96" s="12" t="str">
        <f t="shared" si="7"/>
        <v/>
      </c>
      <c r="J96" s="3">
        <v>254</v>
      </c>
      <c r="K96" s="13">
        <f t="shared" si="8"/>
        <v>5</v>
      </c>
    </row>
    <row r="97" spans="1:11" x14ac:dyDescent="0.2">
      <c r="A97" s="4">
        <v>46253</v>
      </c>
      <c r="B97" s="3" t="str">
        <f t="shared" si="6"/>
        <v>P2</v>
      </c>
      <c r="C97" s="3">
        <v>8</v>
      </c>
      <c r="D97" s="11" t="s">
        <v>410</v>
      </c>
      <c r="E97" s="3" t="s">
        <v>503</v>
      </c>
      <c r="F97" s="3">
        <v>31.9</v>
      </c>
      <c r="G97" s="3">
        <v>152</v>
      </c>
      <c r="H97" s="3">
        <v>12.60526315789474</v>
      </c>
      <c r="I97" s="12" t="str">
        <f t="shared" si="7"/>
        <v/>
      </c>
      <c r="J97" s="3">
        <v>9.0213441848754883</v>
      </c>
      <c r="K97" s="13">
        <f t="shared" si="8"/>
        <v>0.28280075814656702</v>
      </c>
    </row>
    <row r="98" spans="1:11" x14ac:dyDescent="0.2">
      <c r="A98" s="4">
        <v>46253</v>
      </c>
      <c r="B98" s="3" t="str">
        <f t="shared" ref="B98:B129" si="9">IF(A98&lt;=DATE(2026,7,20),"P1","P2")</f>
        <v>P2</v>
      </c>
      <c r="C98" s="3">
        <v>191</v>
      </c>
      <c r="D98" s="11" t="s">
        <v>504</v>
      </c>
      <c r="E98" s="3" t="s">
        <v>505</v>
      </c>
      <c r="F98" s="3">
        <v>54.2</v>
      </c>
      <c r="G98" s="3"/>
      <c r="H98" s="3"/>
      <c r="I98" s="12" t="str">
        <f t="shared" ref="I98:I129" si="10">IF(AND(G98&gt;=500,H98&gt;0),H98*1000/60,"")</f>
        <v/>
      </c>
      <c r="J98" s="3">
        <v>637</v>
      </c>
      <c r="K98" s="13">
        <f t="shared" ref="K98:K129" si="11">IF(F98&gt;0,J98/F98,"")</f>
        <v>11.752767527675276</v>
      </c>
    </row>
    <row r="99" spans="1:11" x14ac:dyDescent="0.2">
      <c r="A99" s="4">
        <v>46254</v>
      </c>
      <c r="B99" s="3" t="str">
        <f t="shared" si="9"/>
        <v>P2</v>
      </c>
      <c r="C99" s="3">
        <v>191</v>
      </c>
      <c r="D99" s="11" t="s">
        <v>504</v>
      </c>
      <c r="E99" s="3" t="s">
        <v>506</v>
      </c>
      <c r="F99" s="3">
        <v>103.1</v>
      </c>
      <c r="G99" s="3"/>
      <c r="H99" s="3"/>
      <c r="I99" s="12" t="str">
        <f t="shared" si="10"/>
        <v/>
      </c>
      <c r="J99" s="3">
        <v>942</v>
      </c>
      <c r="K99" s="13">
        <f t="shared" si="11"/>
        <v>9.1367604267701275</v>
      </c>
    </row>
    <row r="100" spans="1:11" x14ac:dyDescent="0.2">
      <c r="A100" s="4">
        <v>46255</v>
      </c>
      <c r="B100" s="3" t="str">
        <f t="shared" si="9"/>
        <v>P2</v>
      </c>
      <c r="C100" s="3">
        <v>191</v>
      </c>
      <c r="D100" s="11" t="s">
        <v>504</v>
      </c>
      <c r="E100" s="3" t="s">
        <v>507</v>
      </c>
      <c r="F100" s="3">
        <v>77.599999999999994</v>
      </c>
      <c r="G100" s="3"/>
      <c r="H100" s="3"/>
      <c r="I100" s="12" t="str">
        <f t="shared" si="10"/>
        <v/>
      </c>
      <c r="J100" s="3">
        <v>787</v>
      </c>
      <c r="K100" s="13">
        <f t="shared" si="11"/>
        <v>10.141752577319588</v>
      </c>
    </row>
    <row r="101" spans="1:11" x14ac:dyDescent="0.2">
      <c r="A101" s="4">
        <v>46256</v>
      </c>
      <c r="B101" s="3" t="str">
        <f t="shared" si="9"/>
        <v>P2</v>
      </c>
      <c r="C101" s="3">
        <v>85</v>
      </c>
      <c r="D101" s="11" t="s">
        <v>418</v>
      </c>
      <c r="E101" s="3" t="s">
        <v>508</v>
      </c>
      <c r="F101" s="3">
        <v>29.4</v>
      </c>
      <c r="G101" s="3"/>
      <c r="H101" s="3"/>
      <c r="I101" s="12" t="str">
        <f t="shared" si="10"/>
        <v/>
      </c>
      <c r="J101" s="3">
        <v>290</v>
      </c>
      <c r="K101" s="13">
        <f t="shared" si="11"/>
        <v>9.8639455782312933</v>
      </c>
    </row>
    <row r="102" spans="1:11" x14ac:dyDescent="0.2">
      <c r="A102" s="4">
        <v>46257</v>
      </c>
      <c r="B102" s="3" t="str">
        <f t="shared" si="9"/>
        <v>P2</v>
      </c>
      <c r="C102" s="3">
        <v>1</v>
      </c>
      <c r="D102" s="11" t="s">
        <v>408</v>
      </c>
      <c r="E102" s="3" t="s">
        <v>509</v>
      </c>
      <c r="F102" s="3">
        <v>11.6</v>
      </c>
      <c r="G102" s="3">
        <v>1899</v>
      </c>
      <c r="H102" s="3">
        <v>0.36545550289626122</v>
      </c>
      <c r="I102" s="12">
        <f t="shared" si="10"/>
        <v>6.0909250482710204</v>
      </c>
      <c r="J102" s="3">
        <v>126.5424728393555</v>
      </c>
      <c r="K102" s="13">
        <f t="shared" si="11"/>
        <v>10.908833865461681</v>
      </c>
    </row>
    <row r="103" spans="1:11" x14ac:dyDescent="0.2">
      <c r="A103" s="4">
        <v>46257</v>
      </c>
      <c r="B103" s="3" t="str">
        <f t="shared" si="9"/>
        <v>P2</v>
      </c>
      <c r="C103" s="3">
        <v>8</v>
      </c>
      <c r="D103" s="11" t="s">
        <v>410</v>
      </c>
      <c r="E103" s="3" t="s">
        <v>510</v>
      </c>
      <c r="F103" s="3">
        <v>26.7</v>
      </c>
      <c r="G103" s="3">
        <v>2833</v>
      </c>
      <c r="H103" s="3">
        <v>0.56547829156371343</v>
      </c>
      <c r="I103" s="12">
        <f t="shared" si="10"/>
        <v>9.4246381927285583</v>
      </c>
      <c r="J103" s="3">
        <v>288.73300170898438</v>
      </c>
      <c r="K103" s="13">
        <f t="shared" si="11"/>
        <v>10.81397010146009</v>
      </c>
    </row>
    <row r="104" spans="1:11" x14ac:dyDescent="0.2">
      <c r="A104" s="4">
        <v>46258</v>
      </c>
      <c r="B104" s="3" t="str">
        <f t="shared" si="9"/>
        <v>P2</v>
      </c>
      <c r="C104" s="3">
        <v>52</v>
      </c>
      <c r="D104" s="11" t="s">
        <v>401</v>
      </c>
      <c r="E104" s="3" t="s">
        <v>511</v>
      </c>
      <c r="F104" s="3">
        <v>44.4</v>
      </c>
      <c r="G104" s="3"/>
      <c r="H104" s="3"/>
      <c r="I104" s="12" t="str">
        <f t="shared" si="10"/>
        <v/>
      </c>
      <c r="J104" s="3">
        <v>140</v>
      </c>
      <c r="K104" s="13">
        <f t="shared" si="11"/>
        <v>3.1531531531531534</v>
      </c>
    </row>
    <row r="105" spans="1:11" x14ac:dyDescent="0.2">
      <c r="A105" s="4">
        <v>46259</v>
      </c>
      <c r="B105" s="3" t="str">
        <f t="shared" si="9"/>
        <v>P2</v>
      </c>
      <c r="C105" s="3">
        <v>1</v>
      </c>
      <c r="D105" s="11" t="s">
        <v>408</v>
      </c>
      <c r="E105" s="3" t="s">
        <v>512</v>
      </c>
      <c r="F105" s="3">
        <v>65.400000000000006</v>
      </c>
      <c r="G105" s="3">
        <v>10256</v>
      </c>
      <c r="H105" s="3">
        <v>0.38250780031201248</v>
      </c>
      <c r="I105" s="12">
        <f t="shared" si="10"/>
        <v>6.3751300052002078</v>
      </c>
      <c r="J105" s="3">
        <v>798.318115234375</v>
      </c>
      <c r="K105" s="13">
        <f t="shared" si="11"/>
        <v>12.206699009699923</v>
      </c>
    </row>
    <row r="106" spans="1:11" x14ac:dyDescent="0.2">
      <c r="A106" s="4">
        <v>46259</v>
      </c>
      <c r="B106" s="3" t="str">
        <f t="shared" si="9"/>
        <v>P2</v>
      </c>
      <c r="C106" s="3">
        <v>52</v>
      </c>
      <c r="D106" s="11" t="s">
        <v>401</v>
      </c>
      <c r="E106" s="3" t="s">
        <v>513</v>
      </c>
      <c r="F106" s="3">
        <v>50.4</v>
      </c>
      <c r="G106" s="3"/>
      <c r="H106" s="3"/>
      <c r="I106" s="12" t="str">
        <f t="shared" si="10"/>
        <v/>
      </c>
      <c r="J106" s="3">
        <v>113</v>
      </c>
      <c r="K106" s="13">
        <f t="shared" si="11"/>
        <v>2.2420634920634921</v>
      </c>
    </row>
    <row r="107" spans="1:11" x14ac:dyDescent="0.2">
      <c r="A107" s="4">
        <v>46260</v>
      </c>
      <c r="B107" s="3" t="str">
        <f t="shared" si="9"/>
        <v>P2</v>
      </c>
      <c r="C107" s="3">
        <v>191</v>
      </c>
      <c r="D107" s="11" t="s">
        <v>504</v>
      </c>
      <c r="E107" s="3" t="s">
        <v>514</v>
      </c>
      <c r="F107" s="3">
        <v>55</v>
      </c>
      <c r="G107" s="3"/>
      <c r="H107" s="3"/>
      <c r="I107" s="12" t="str">
        <f t="shared" si="10"/>
        <v/>
      </c>
      <c r="J107" s="3">
        <v>677</v>
      </c>
      <c r="K107" s="13">
        <f t="shared" si="11"/>
        <v>12.309090909090909</v>
      </c>
    </row>
    <row r="108" spans="1:11" x14ac:dyDescent="0.2">
      <c r="A108" s="4">
        <v>46261</v>
      </c>
      <c r="B108" s="3" t="str">
        <f t="shared" si="9"/>
        <v>P2</v>
      </c>
      <c r="C108" s="3">
        <v>52</v>
      </c>
      <c r="D108" s="11" t="s">
        <v>401</v>
      </c>
      <c r="E108" s="3" t="s">
        <v>515</v>
      </c>
      <c r="F108" s="3">
        <v>69.099999999999994</v>
      </c>
      <c r="G108" s="3"/>
      <c r="H108" s="3"/>
      <c r="I108" s="12" t="str">
        <f t="shared" si="10"/>
        <v/>
      </c>
      <c r="J108" s="3">
        <v>200</v>
      </c>
      <c r="K108" s="13">
        <f t="shared" si="11"/>
        <v>2.8943560057887123</v>
      </c>
    </row>
    <row r="109" spans="1:11" x14ac:dyDescent="0.2">
      <c r="A109" s="4">
        <v>46261</v>
      </c>
      <c r="B109" s="3" t="str">
        <f t="shared" si="9"/>
        <v>P2</v>
      </c>
      <c r="C109" s="3">
        <v>49</v>
      </c>
      <c r="D109" s="11" t="s">
        <v>403</v>
      </c>
      <c r="E109" s="3" t="s">
        <v>516</v>
      </c>
      <c r="F109" s="3">
        <v>41.6</v>
      </c>
      <c r="G109" s="3"/>
      <c r="H109" s="3"/>
      <c r="I109" s="12" t="str">
        <f t="shared" si="10"/>
        <v/>
      </c>
      <c r="J109" s="3">
        <v>393</v>
      </c>
      <c r="K109" s="13">
        <f t="shared" si="11"/>
        <v>9.447115384615385</v>
      </c>
    </row>
    <row r="110" spans="1:11" x14ac:dyDescent="0.2">
      <c r="A110" s="4">
        <v>46264</v>
      </c>
      <c r="B110" s="3" t="str">
        <f t="shared" si="9"/>
        <v>P2</v>
      </c>
      <c r="C110" s="3">
        <v>1</v>
      </c>
      <c r="D110" s="11" t="s">
        <v>408</v>
      </c>
      <c r="E110" s="3" t="s">
        <v>517</v>
      </c>
      <c r="F110" s="3">
        <v>19.899999999999999</v>
      </c>
      <c r="G110" s="3">
        <v>3135</v>
      </c>
      <c r="H110" s="3">
        <v>0.38086124401913868</v>
      </c>
      <c r="I110" s="12">
        <f t="shared" si="10"/>
        <v>6.3476874003189776</v>
      </c>
      <c r="J110" s="3">
        <v>140.63995361328119</v>
      </c>
      <c r="K110" s="13">
        <f t="shared" si="11"/>
        <v>7.0673343524261911</v>
      </c>
    </row>
    <row r="111" spans="1:11" x14ac:dyDescent="0.2">
      <c r="A111" s="4">
        <v>46264</v>
      </c>
      <c r="B111" s="3" t="str">
        <f t="shared" si="9"/>
        <v>P2</v>
      </c>
      <c r="C111" s="3">
        <v>52</v>
      </c>
      <c r="D111" s="11" t="s">
        <v>401</v>
      </c>
      <c r="E111" s="3" t="s">
        <v>518</v>
      </c>
      <c r="F111" s="3">
        <v>57.2</v>
      </c>
      <c r="G111" s="3"/>
      <c r="H111" s="3"/>
      <c r="I111" s="12" t="str">
        <f t="shared" si="10"/>
        <v/>
      </c>
      <c r="J111" s="3">
        <v>233</v>
      </c>
      <c r="K111" s="13">
        <f t="shared" si="11"/>
        <v>4.0734265734265733</v>
      </c>
    </row>
    <row r="112" spans="1:11" x14ac:dyDescent="0.2">
      <c r="A112" s="4">
        <v>46264</v>
      </c>
      <c r="B112" s="3" t="str">
        <f t="shared" si="9"/>
        <v>P2</v>
      </c>
      <c r="C112" s="3">
        <v>191</v>
      </c>
      <c r="D112" s="11" t="s">
        <v>504</v>
      </c>
      <c r="E112" s="3" t="s">
        <v>519</v>
      </c>
      <c r="F112" s="3">
        <v>50.8</v>
      </c>
      <c r="G112" s="3"/>
      <c r="H112" s="3"/>
      <c r="I112" s="12" t="str">
        <f t="shared" si="10"/>
        <v/>
      </c>
      <c r="J112" s="3">
        <v>589</v>
      </c>
      <c r="K112" s="13">
        <f t="shared" si="11"/>
        <v>11.594488188976378</v>
      </c>
    </row>
    <row r="113" spans="1:11" x14ac:dyDescent="0.2">
      <c r="A113" s="4">
        <v>46267</v>
      </c>
      <c r="B113" s="3" t="str">
        <f t="shared" si="9"/>
        <v>P2</v>
      </c>
      <c r="C113" s="3">
        <v>191</v>
      </c>
      <c r="D113" s="11" t="s">
        <v>504</v>
      </c>
      <c r="E113" s="3" t="s">
        <v>520</v>
      </c>
      <c r="F113" s="3">
        <v>54.4</v>
      </c>
      <c r="G113" s="3"/>
      <c r="H113" s="3"/>
      <c r="I113" s="12" t="str">
        <f t="shared" si="10"/>
        <v/>
      </c>
      <c r="J113" s="3">
        <v>588</v>
      </c>
      <c r="K113" s="13">
        <f t="shared" si="11"/>
        <v>10.808823529411764</v>
      </c>
    </row>
    <row r="114" spans="1:11" x14ac:dyDescent="0.2">
      <c r="A114" s="4">
        <v>46268</v>
      </c>
      <c r="B114" s="3" t="str">
        <f t="shared" si="9"/>
        <v>P2</v>
      </c>
      <c r="C114" s="3">
        <v>52</v>
      </c>
      <c r="D114" s="11" t="s">
        <v>401</v>
      </c>
      <c r="E114" s="3" t="s">
        <v>521</v>
      </c>
      <c r="F114" s="3">
        <v>50.6</v>
      </c>
      <c r="G114" s="3"/>
      <c r="H114" s="3"/>
      <c r="I114" s="12" t="str">
        <f t="shared" si="10"/>
        <v/>
      </c>
      <c r="J114" s="3">
        <v>146</v>
      </c>
      <c r="K114" s="13">
        <f t="shared" si="11"/>
        <v>2.885375494071146</v>
      </c>
    </row>
    <row r="115" spans="1:11" x14ac:dyDescent="0.2">
      <c r="A115" s="4">
        <v>46268</v>
      </c>
      <c r="B115" s="3" t="str">
        <f t="shared" si="9"/>
        <v>P2</v>
      </c>
      <c r="C115" s="3">
        <v>49</v>
      </c>
      <c r="D115" s="11" t="s">
        <v>403</v>
      </c>
      <c r="E115" s="3" t="s">
        <v>522</v>
      </c>
      <c r="F115" s="3">
        <v>45.9</v>
      </c>
      <c r="G115" s="3"/>
      <c r="H115" s="3"/>
      <c r="I115" s="12" t="str">
        <f t="shared" si="10"/>
        <v/>
      </c>
      <c r="J115" s="3">
        <v>449</v>
      </c>
      <c r="K115" s="13">
        <f t="shared" si="11"/>
        <v>9.7821350762527235</v>
      </c>
    </row>
    <row r="116" spans="1:11" x14ac:dyDescent="0.2">
      <c r="A116" s="4">
        <v>46269</v>
      </c>
      <c r="B116" s="3" t="str">
        <f t="shared" si="9"/>
        <v>P2</v>
      </c>
      <c r="C116" s="3">
        <v>52</v>
      </c>
      <c r="D116" s="11" t="s">
        <v>401</v>
      </c>
      <c r="E116" s="3" t="s">
        <v>523</v>
      </c>
      <c r="F116" s="3">
        <v>69.3</v>
      </c>
      <c r="G116" s="3"/>
      <c r="H116" s="3"/>
      <c r="I116" s="12" t="str">
        <f t="shared" si="10"/>
        <v/>
      </c>
      <c r="J116" s="3">
        <v>171</v>
      </c>
      <c r="K116" s="13">
        <f t="shared" si="11"/>
        <v>2.4675324675324677</v>
      </c>
    </row>
    <row r="117" spans="1:11" x14ac:dyDescent="0.2">
      <c r="A117" s="4">
        <v>46270</v>
      </c>
      <c r="B117" s="3" t="str">
        <f t="shared" si="9"/>
        <v>P2</v>
      </c>
      <c r="C117" s="3">
        <v>227</v>
      </c>
      <c r="D117" s="11" t="s">
        <v>413</v>
      </c>
      <c r="E117" s="3" t="s">
        <v>524</v>
      </c>
      <c r="F117" s="3">
        <v>65.900000000000006</v>
      </c>
      <c r="G117" s="3"/>
      <c r="H117" s="3"/>
      <c r="I117" s="12" t="str">
        <f t="shared" si="10"/>
        <v/>
      </c>
      <c r="J117" s="3">
        <v>367</v>
      </c>
      <c r="K117" s="13">
        <f t="shared" si="11"/>
        <v>5.5690440060698023</v>
      </c>
    </row>
    <row r="118" spans="1:11" x14ac:dyDescent="0.2">
      <c r="A118" s="4">
        <v>46270</v>
      </c>
      <c r="B118" s="3" t="str">
        <f t="shared" si="9"/>
        <v>P2</v>
      </c>
      <c r="C118" s="3">
        <v>191</v>
      </c>
      <c r="D118" s="11" t="s">
        <v>504</v>
      </c>
      <c r="E118" s="3" t="s">
        <v>525</v>
      </c>
      <c r="F118" s="3">
        <v>63.5</v>
      </c>
      <c r="G118" s="3"/>
      <c r="H118" s="3"/>
      <c r="I118" s="12" t="str">
        <f t="shared" si="10"/>
        <v/>
      </c>
      <c r="J118" s="3">
        <v>684</v>
      </c>
      <c r="K118" s="13">
        <f t="shared" si="11"/>
        <v>10.771653543307087</v>
      </c>
    </row>
    <row r="119" spans="1:11" x14ac:dyDescent="0.2">
      <c r="A119" s="4">
        <v>46271</v>
      </c>
      <c r="B119" s="3" t="str">
        <f t="shared" si="9"/>
        <v>P2</v>
      </c>
      <c r="C119" s="3">
        <v>1</v>
      </c>
      <c r="D119" s="11" t="s">
        <v>408</v>
      </c>
      <c r="E119" s="3" t="s">
        <v>526</v>
      </c>
      <c r="F119" s="3">
        <v>41.5</v>
      </c>
      <c r="G119" s="3">
        <v>6471</v>
      </c>
      <c r="H119" s="3">
        <v>0.38448462370576419</v>
      </c>
      <c r="I119" s="12">
        <f t="shared" si="10"/>
        <v>6.4080770617627367</v>
      </c>
      <c r="J119" s="3">
        <v>458.37411499023438</v>
      </c>
      <c r="K119" s="13">
        <f t="shared" si="11"/>
        <v>11.045159397355045</v>
      </c>
    </row>
    <row r="120" spans="1:11" x14ac:dyDescent="0.2">
      <c r="A120" s="4">
        <v>46273</v>
      </c>
      <c r="B120" s="3" t="str">
        <f t="shared" si="9"/>
        <v>P2</v>
      </c>
      <c r="C120" s="3">
        <v>1</v>
      </c>
      <c r="D120" s="11" t="s">
        <v>408</v>
      </c>
      <c r="E120" s="3" t="s">
        <v>527</v>
      </c>
      <c r="F120" s="3">
        <v>53.5</v>
      </c>
      <c r="G120" s="3">
        <v>10152</v>
      </c>
      <c r="H120" s="3">
        <v>0.31560283687943258</v>
      </c>
      <c r="I120" s="12">
        <f t="shared" si="10"/>
        <v>5.2600472813238763</v>
      </c>
      <c r="J120" s="3">
        <v>729.62335205078125</v>
      </c>
      <c r="K120" s="13">
        <f t="shared" si="11"/>
        <v>13.637819664500585</v>
      </c>
    </row>
    <row r="121" spans="1:11" x14ac:dyDescent="0.2">
      <c r="A121" s="4">
        <v>46273</v>
      </c>
      <c r="B121" s="3" t="str">
        <f t="shared" si="9"/>
        <v>P2</v>
      </c>
      <c r="C121" s="3">
        <v>52</v>
      </c>
      <c r="D121" s="11" t="s">
        <v>401</v>
      </c>
      <c r="E121" s="3" t="s">
        <v>528</v>
      </c>
      <c r="F121" s="3">
        <v>67.3</v>
      </c>
      <c r="G121" s="3"/>
      <c r="H121" s="3"/>
      <c r="I121" s="12" t="str">
        <f t="shared" si="10"/>
        <v/>
      </c>
      <c r="J121" s="3">
        <v>236</v>
      </c>
      <c r="K121" s="13">
        <f t="shared" si="11"/>
        <v>3.5066864784546805</v>
      </c>
    </row>
    <row r="122" spans="1:11" x14ac:dyDescent="0.2">
      <c r="A122" s="4">
        <v>46274</v>
      </c>
      <c r="B122" s="3" t="str">
        <f t="shared" si="9"/>
        <v>P2</v>
      </c>
      <c r="C122" s="3">
        <v>52</v>
      </c>
      <c r="D122" s="11" t="s">
        <v>401</v>
      </c>
      <c r="E122" s="3" t="s">
        <v>529</v>
      </c>
      <c r="F122" s="3">
        <v>42.5</v>
      </c>
      <c r="G122" s="3"/>
      <c r="H122" s="3"/>
      <c r="I122" s="12" t="str">
        <f t="shared" si="10"/>
        <v/>
      </c>
      <c r="J122" s="3">
        <v>91</v>
      </c>
      <c r="K122" s="13">
        <f t="shared" si="11"/>
        <v>2.1411764705882352</v>
      </c>
    </row>
    <row r="123" spans="1:11" x14ac:dyDescent="0.2">
      <c r="A123" s="4">
        <v>46275</v>
      </c>
      <c r="B123" s="3" t="str">
        <f t="shared" si="9"/>
        <v>P2</v>
      </c>
      <c r="C123" s="3">
        <v>49</v>
      </c>
      <c r="D123" s="11" t="s">
        <v>403</v>
      </c>
      <c r="E123" s="3" t="s">
        <v>530</v>
      </c>
      <c r="F123" s="3">
        <v>37.5</v>
      </c>
      <c r="G123" s="3"/>
      <c r="H123" s="3"/>
      <c r="I123" s="12" t="str">
        <f t="shared" si="10"/>
        <v/>
      </c>
      <c r="J123" s="3">
        <v>342</v>
      </c>
      <c r="K123" s="13">
        <f t="shared" si="11"/>
        <v>9.1199999999999992</v>
      </c>
    </row>
    <row r="124" spans="1:11" x14ac:dyDescent="0.2">
      <c r="A124" s="4">
        <v>46275</v>
      </c>
      <c r="B124" s="3" t="str">
        <f t="shared" si="9"/>
        <v>P2</v>
      </c>
      <c r="C124" s="3">
        <v>227</v>
      </c>
      <c r="D124" s="11" t="s">
        <v>413</v>
      </c>
      <c r="E124" s="3" t="s">
        <v>531</v>
      </c>
      <c r="F124" s="3">
        <v>51.3</v>
      </c>
      <c r="G124" s="3"/>
      <c r="H124" s="3"/>
      <c r="I124" s="12" t="str">
        <f t="shared" si="10"/>
        <v/>
      </c>
      <c r="J124" s="3">
        <v>293</v>
      </c>
      <c r="K124" s="13">
        <f t="shared" si="11"/>
        <v>5.7115009746588701</v>
      </c>
    </row>
    <row r="125" spans="1:11" x14ac:dyDescent="0.2">
      <c r="A125" s="4">
        <v>46275</v>
      </c>
      <c r="B125" s="3" t="str">
        <f t="shared" si="9"/>
        <v>P2</v>
      </c>
      <c r="C125" s="3">
        <v>191</v>
      </c>
      <c r="D125" s="11" t="s">
        <v>504</v>
      </c>
      <c r="E125" s="3" t="s">
        <v>532</v>
      </c>
      <c r="F125" s="3">
        <v>58.8</v>
      </c>
      <c r="G125" s="3"/>
      <c r="H125" s="3"/>
      <c r="I125" s="12" t="str">
        <f t="shared" si="10"/>
        <v/>
      </c>
      <c r="J125" s="3">
        <v>597</v>
      </c>
      <c r="K125" s="13">
        <f t="shared" si="11"/>
        <v>10.153061224489797</v>
      </c>
    </row>
    <row r="126" spans="1:11" x14ac:dyDescent="0.2">
      <c r="A126" s="4">
        <v>46277</v>
      </c>
      <c r="B126" s="3" t="str">
        <f t="shared" si="9"/>
        <v>P2</v>
      </c>
      <c r="C126" s="3">
        <v>85</v>
      </c>
      <c r="D126" s="11" t="s">
        <v>418</v>
      </c>
      <c r="E126" s="3" t="s">
        <v>533</v>
      </c>
      <c r="F126" s="3">
        <v>95.1</v>
      </c>
      <c r="G126" s="3"/>
      <c r="H126" s="3"/>
      <c r="I126" s="12" t="str">
        <f t="shared" si="10"/>
        <v/>
      </c>
      <c r="J126" s="3">
        <v>799</v>
      </c>
      <c r="K126" s="13">
        <f t="shared" si="11"/>
        <v>8.4016824395373302</v>
      </c>
    </row>
    <row r="127" spans="1:11" x14ac:dyDescent="0.2">
      <c r="A127" s="4">
        <v>46277</v>
      </c>
      <c r="B127" s="3" t="str">
        <f t="shared" si="9"/>
        <v>P2</v>
      </c>
      <c r="C127" s="3">
        <v>52</v>
      </c>
      <c r="D127" s="11" t="s">
        <v>401</v>
      </c>
      <c r="E127" s="3" t="s">
        <v>534</v>
      </c>
      <c r="F127" s="3">
        <v>49.6</v>
      </c>
      <c r="G127" s="3"/>
      <c r="H127" s="3"/>
      <c r="I127" s="12" t="str">
        <f t="shared" si="10"/>
        <v/>
      </c>
      <c r="J127" s="3">
        <v>169</v>
      </c>
      <c r="K127" s="13">
        <f t="shared" si="11"/>
        <v>3.407258064516129</v>
      </c>
    </row>
    <row r="128" spans="1:11" x14ac:dyDescent="0.2">
      <c r="A128" s="4">
        <v>46278</v>
      </c>
      <c r="B128" s="3" t="str">
        <f t="shared" si="9"/>
        <v>P2</v>
      </c>
      <c r="C128" s="3">
        <v>49</v>
      </c>
      <c r="D128" s="11" t="s">
        <v>403</v>
      </c>
      <c r="E128" s="3" t="s">
        <v>535</v>
      </c>
      <c r="F128" s="3">
        <v>106.6</v>
      </c>
      <c r="G128" s="3"/>
      <c r="H128" s="3"/>
      <c r="I128" s="12" t="str">
        <f t="shared" si="10"/>
        <v/>
      </c>
      <c r="J128" s="3">
        <v>1081</v>
      </c>
      <c r="K128" s="13">
        <f t="shared" si="11"/>
        <v>10.140712945590995</v>
      </c>
    </row>
    <row r="129" spans="1:11" x14ac:dyDescent="0.2">
      <c r="A129" s="4">
        <v>46282</v>
      </c>
      <c r="B129" s="3" t="str">
        <f t="shared" si="9"/>
        <v>P2</v>
      </c>
      <c r="C129" s="3">
        <v>52</v>
      </c>
      <c r="D129" s="11" t="s">
        <v>401</v>
      </c>
      <c r="E129" s="3" t="s">
        <v>536</v>
      </c>
      <c r="F129" s="3">
        <v>33.5</v>
      </c>
      <c r="G129" s="3"/>
      <c r="H129" s="3"/>
      <c r="I129" s="12" t="str">
        <f t="shared" si="10"/>
        <v/>
      </c>
      <c r="J129" s="3">
        <v>95</v>
      </c>
      <c r="K129" s="13">
        <f t="shared" si="11"/>
        <v>2.8358208955223883</v>
      </c>
    </row>
    <row r="130" spans="1:11" x14ac:dyDescent="0.2">
      <c r="A130" s="4">
        <v>46283</v>
      </c>
      <c r="B130" s="3" t="str">
        <f t="shared" ref="B130:B161" si="12">IF(A130&lt;=DATE(2026,7,20),"P1","P2")</f>
        <v>P2</v>
      </c>
      <c r="C130" s="3">
        <v>52</v>
      </c>
      <c r="D130" s="11" t="s">
        <v>401</v>
      </c>
      <c r="E130" s="3" t="s">
        <v>537</v>
      </c>
      <c r="F130" s="3">
        <v>34.9</v>
      </c>
      <c r="G130" s="3"/>
      <c r="H130" s="3"/>
      <c r="I130" s="12" t="str">
        <f t="shared" ref="I130:I161" si="13">IF(AND(G130&gt;=500,H130&gt;0),H130*1000/60,"")</f>
        <v/>
      </c>
      <c r="J130" s="3">
        <v>97</v>
      </c>
      <c r="K130" s="13">
        <f t="shared" ref="K130:K161" si="14">IF(F130&gt;0,J130/F130,"")</f>
        <v>2.7793696275071635</v>
      </c>
    </row>
    <row r="131" spans="1:11" x14ac:dyDescent="0.2">
      <c r="A131" s="4">
        <v>46283</v>
      </c>
      <c r="B131" s="3" t="str">
        <f t="shared" si="12"/>
        <v>P2</v>
      </c>
      <c r="C131" s="3">
        <v>49</v>
      </c>
      <c r="D131" s="11" t="s">
        <v>403</v>
      </c>
      <c r="E131" s="3" t="s">
        <v>538</v>
      </c>
      <c r="F131" s="3">
        <v>39.700000000000003</v>
      </c>
      <c r="G131" s="3"/>
      <c r="H131" s="3"/>
      <c r="I131" s="12" t="str">
        <f t="shared" si="13"/>
        <v/>
      </c>
      <c r="J131" s="3">
        <v>392</v>
      </c>
      <c r="K131" s="13">
        <f t="shared" si="14"/>
        <v>9.8740554156171285</v>
      </c>
    </row>
    <row r="132" spans="1:11" x14ac:dyDescent="0.2">
      <c r="A132" s="4">
        <v>46285</v>
      </c>
      <c r="B132" s="3" t="str">
        <f t="shared" si="12"/>
        <v>P2</v>
      </c>
      <c r="C132" s="3">
        <v>85</v>
      </c>
      <c r="D132" s="11" t="s">
        <v>418</v>
      </c>
      <c r="E132" s="3" t="s">
        <v>539</v>
      </c>
      <c r="F132" s="3">
        <v>88.2</v>
      </c>
      <c r="G132" s="3"/>
      <c r="H132" s="3"/>
      <c r="I132" s="12" t="str">
        <f t="shared" si="13"/>
        <v/>
      </c>
      <c r="J132" s="3">
        <v>597</v>
      </c>
      <c r="K132" s="13">
        <f t="shared" si="14"/>
        <v>6.7687074829931975</v>
      </c>
    </row>
    <row r="133" spans="1:11" x14ac:dyDescent="0.2">
      <c r="A133" s="4">
        <v>46286</v>
      </c>
      <c r="B133" s="3" t="str">
        <f t="shared" si="12"/>
        <v>P2</v>
      </c>
      <c r="C133" s="3">
        <v>1</v>
      </c>
      <c r="D133" s="11" t="s">
        <v>408</v>
      </c>
      <c r="E133" s="3" t="s">
        <v>540</v>
      </c>
      <c r="F133" s="3">
        <v>21.4</v>
      </c>
      <c r="G133" s="3">
        <v>4196</v>
      </c>
      <c r="H133" s="3">
        <v>0.30552907530981888</v>
      </c>
      <c r="I133" s="12">
        <f t="shared" si="13"/>
        <v>5.0921512551636479</v>
      </c>
      <c r="J133" s="3">
        <v>261.10342407226562</v>
      </c>
      <c r="K133" s="13">
        <f t="shared" si="14"/>
        <v>12.201094582816152</v>
      </c>
    </row>
    <row r="134" spans="1:11" x14ac:dyDescent="0.2">
      <c r="A134" s="4">
        <v>46286</v>
      </c>
      <c r="B134" s="3" t="str">
        <f t="shared" si="12"/>
        <v>P2</v>
      </c>
      <c r="C134" s="3">
        <v>52</v>
      </c>
      <c r="D134" s="11" t="s">
        <v>401</v>
      </c>
      <c r="E134" s="3" t="s">
        <v>541</v>
      </c>
      <c r="F134" s="3">
        <v>47</v>
      </c>
      <c r="G134" s="3"/>
      <c r="H134" s="3"/>
      <c r="I134" s="12" t="str">
        <f t="shared" si="13"/>
        <v/>
      </c>
      <c r="J134" s="3">
        <v>136</v>
      </c>
      <c r="K134" s="13">
        <f t="shared" si="14"/>
        <v>2.8936170212765959</v>
      </c>
    </row>
    <row r="135" spans="1:11" x14ac:dyDescent="0.2">
      <c r="A135" s="4">
        <v>46288</v>
      </c>
      <c r="B135" s="3" t="str">
        <f t="shared" si="12"/>
        <v>P2</v>
      </c>
      <c r="C135" s="3">
        <v>52</v>
      </c>
      <c r="D135" s="11" t="s">
        <v>401</v>
      </c>
      <c r="E135" s="3" t="s">
        <v>542</v>
      </c>
      <c r="F135" s="3">
        <v>58.2</v>
      </c>
      <c r="G135" s="3"/>
      <c r="H135" s="3"/>
      <c r="I135" s="12" t="str">
        <f t="shared" si="13"/>
        <v/>
      </c>
      <c r="J135" s="3">
        <v>157</v>
      </c>
      <c r="K135" s="13">
        <f t="shared" si="14"/>
        <v>2.6975945017182128</v>
      </c>
    </row>
    <row r="136" spans="1:11" x14ac:dyDescent="0.2">
      <c r="A136" s="4">
        <v>46289</v>
      </c>
      <c r="B136" s="3" t="str">
        <f t="shared" si="12"/>
        <v>P2</v>
      </c>
      <c r="C136" s="3">
        <v>1</v>
      </c>
      <c r="D136" s="11" t="s">
        <v>408</v>
      </c>
      <c r="E136" s="3" t="s">
        <v>543</v>
      </c>
      <c r="F136" s="3">
        <v>19.600000000000001</v>
      </c>
      <c r="G136" s="3">
        <v>3804</v>
      </c>
      <c r="H136" s="3">
        <v>0.30914826498422721</v>
      </c>
      <c r="I136" s="12">
        <f t="shared" si="13"/>
        <v>5.152471083070453</v>
      </c>
      <c r="J136" s="3">
        <v>254.1349182128906</v>
      </c>
      <c r="K136" s="13">
        <f t="shared" si="14"/>
        <v>12.966067255759723</v>
      </c>
    </row>
    <row r="137" spans="1:11" x14ac:dyDescent="0.2">
      <c r="A137" s="4">
        <v>46289</v>
      </c>
      <c r="B137" s="3" t="str">
        <f t="shared" si="12"/>
        <v>P2</v>
      </c>
      <c r="C137" s="3">
        <v>191</v>
      </c>
      <c r="D137" s="11" t="s">
        <v>504</v>
      </c>
      <c r="E137" s="3" t="s">
        <v>544</v>
      </c>
      <c r="F137" s="3">
        <v>58.4</v>
      </c>
      <c r="G137" s="3"/>
      <c r="H137" s="3"/>
      <c r="I137" s="12" t="str">
        <f t="shared" si="13"/>
        <v/>
      </c>
      <c r="J137" s="3">
        <v>647</v>
      </c>
      <c r="K137" s="13">
        <f t="shared" si="14"/>
        <v>11.078767123287671</v>
      </c>
    </row>
    <row r="138" spans="1:11" x14ac:dyDescent="0.2">
      <c r="A138" s="4">
        <v>46290</v>
      </c>
      <c r="B138" s="3" t="str">
        <f t="shared" si="12"/>
        <v>P2</v>
      </c>
      <c r="C138" s="3">
        <v>52</v>
      </c>
      <c r="D138" s="11" t="s">
        <v>401</v>
      </c>
      <c r="E138" s="3" t="s">
        <v>545</v>
      </c>
      <c r="F138" s="3">
        <v>49.7</v>
      </c>
      <c r="G138" s="3"/>
      <c r="H138" s="3"/>
      <c r="I138" s="12" t="str">
        <f t="shared" si="13"/>
        <v/>
      </c>
      <c r="J138" s="3">
        <v>178</v>
      </c>
      <c r="K138" s="13">
        <f t="shared" si="14"/>
        <v>3.5814889336016096</v>
      </c>
    </row>
    <row r="139" spans="1:11" x14ac:dyDescent="0.2">
      <c r="A139" s="4">
        <v>46292</v>
      </c>
      <c r="B139" s="3" t="str">
        <f t="shared" si="12"/>
        <v>P2</v>
      </c>
      <c r="C139" s="3">
        <v>1</v>
      </c>
      <c r="D139" s="11" t="s">
        <v>408</v>
      </c>
      <c r="E139" s="3" t="s">
        <v>546</v>
      </c>
      <c r="F139" s="3">
        <v>115.9</v>
      </c>
      <c r="G139" s="3">
        <v>15049</v>
      </c>
      <c r="H139" s="3">
        <v>0.46169180676456911</v>
      </c>
      <c r="I139" s="12">
        <f t="shared" si="13"/>
        <v>7.6948634460761518</v>
      </c>
      <c r="J139" s="3">
        <v>1315.033935546875</v>
      </c>
      <c r="K139" s="13">
        <f t="shared" si="14"/>
        <v>11.346280720853105</v>
      </c>
    </row>
    <row r="140" spans="1:11" x14ac:dyDescent="0.2">
      <c r="A140" s="4">
        <v>46293</v>
      </c>
      <c r="B140" s="3" t="str">
        <f t="shared" si="12"/>
        <v>P2</v>
      </c>
      <c r="C140" s="3">
        <v>85</v>
      </c>
      <c r="D140" s="11" t="s">
        <v>418</v>
      </c>
      <c r="E140" s="3" t="s">
        <v>547</v>
      </c>
      <c r="F140" s="3">
        <v>107.3</v>
      </c>
      <c r="G140" s="3"/>
      <c r="H140" s="3"/>
      <c r="I140" s="12" t="str">
        <f t="shared" si="13"/>
        <v/>
      </c>
      <c r="J140" s="3">
        <v>887</v>
      </c>
      <c r="K140" s="13">
        <f t="shared" si="14"/>
        <v>8.266542404473439</v>
      </c>
    </row>
  </sheetData>
  <autoFilter ref="A1:K140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4" customWidth="1"/>
    <col min="2" max="3" width="18" customWidth="1"/>
    <col min="4" max="4" width="12" customWidth="1"/>
    <col min="5" max="5" width="11" customWidth="1"/>
  </cols>
  <sheetData>
    <row r="1" spans="1:5" ht="30" customHeight="1" x14ac:dyDescent="0.2">
      <c r="A1" s="1" t="s">
        <v>548</v>
      </c>
      <c r="B1" s="1" t="s">
        <v>549</v>
      </c>
      <c r="C1" s="1" t="s">
        <v>550</v>
      </c>
      <c r="D1" s="1" t="s">
        <v>551</v>
      </c>
      <c r="E1" s="1" t="s">
        <v>552</v>
      </c>
    </row>
    <row r="2" spans="1:5" x14ac:dyDescent="0.2">
      <c r="A2" s="14" t="s">
        <v>553</v>
      </c>
      <c r="B2" s="15">
        <f>COUNTIF('Daily Summary'!$B$2:$B$141,"P1")</f>
        <v>70</v>
      </c>
      <c r="C2" s="15">
        <f>COUNTIF('Daily Summary'!$B$2:$B$141,"P2")</f>
        <v>70</v>
      </c>
      <c r="D2" s="16">
        <f t="shared" ref="D2:D20" si="0">C2-B2</f>
        <v>0</v>
      </c>
      <c r="E2" s="17">
        <f t="shared" ref="E2:E20" si="1">IF(B2=0,"",(C2-B2)/B2)</f>
        <v>0</v>
      </c>
    </row>
    <row r="3" spans="1:5" x14ac:dyDescent="0.2">
      <c r="A3" s="14" t="s">
        <v>554</v>
      </c>
      <c r="B3" s="18">
        <f>AVERAGEIFS('Daily Summary'!$D$2:$D$141,'Daily Summary'!$B$2:$B$141,"P1")</f>
        <v>7893.2142857142853</v>
      </c>
      <c r="C3" s="18">
        <f>AVERAGEIFS('Daily Summary'!$D$2:$D$141,'Daily Summary'!$B$2:$B$141,"P2")</f>
        <v>7822.7714285714283</v>
      </c>
      <c r="D3" s="19">
        <f t="shared" si="0"/>
        <v>-70.442857142857065</v>
      </c>
      <c r="E3" s="17">
        <f t="shared" si="1"/>
        <v>-8.9244830550653728E-3</v>
      </c>
    </row>
    <row r="4" spans="1:5" x14ac:dyDescent="0.2">
      <c r="A4" s="14" t="s">
        <v>555</v>
      </c>
      <c r="B4" s="12">
        <f>AVERAGEIFS('Daily Summary'!$E$2:$E$141,'Daily Summary'!$B$2:$B$141,"P1")/1000</f>
        <v>5.7730142857142859</v>
      </c>
      <c r="C4" s="12">
        <f>AVERAGEIFS('Daily Summary'!$E$2:$E$141,'Daily Summary'!$B$2:$B$141,"P2")/1000</f>
        <v>5.6913714285714283</v>
      </c>
      <c r="D4" s="16">
        <f t="shared" si="0"/>
        <v>-8.1642857142857572E-2</v>
      </c>
      <c r="E4" s="17">
        <f t="shared" si="1"/>
        <v>-1.4142154012140303E-2</v>
      </c>
    </row>
    <row r="5" spans="1:5" x14ac:dyDescent="0.2">
      <c r="A5" s="14" t="s">
        <v>556</v>
      </c>
      <c r="B5" s="15">
        <f>AVERAGEIFS('Daily Summary'!$H$2:$H$141,'Daily Summary'!$B$2:$B$141,"P1")</f>
        <v>148.87142857142857</v>
      </c>
      <c r="C5" s="15">
        <f>AVERAGEIFS('Daily Summary'!$H$2:$H$141,'Daily Summary'!$B$2:$B$141,"P2")</f>
        <v>157.74285714285713</v>
      </c>
      <c r="D5" s="16">
        <f t="shared" si="0"/>
        <v>8.8714285714285666</v>
      </c>
      <c r="E5" s="17">
        <f t="shared" si="1"/>
        <v>5.9591210056616419E-2</v>
      </c>
    </row>
    <row r="6" spans="1:5" x14ac:dyDescent="0.2">
      <c r="A6" s="14" t="s">
        <v>557</v>
      </c>
      <c r="B6" s="18">
        <f>AVERAGEIFS('Daily Summary'!$G$2:$G$141,'Daily Summary'!$B$2:$B$141,"P1")</f>
        <v>627.52857142857147</v>
      </c>
      <c r="C6" s="18">
        <f>AVERAGEIFS('Daily Summary'!$G$2:$G$141,'Daily Summary'!$B$2:$B$141,"P2")</f>
        <v>646.67142857142858</v>
      </c>
      <c r="D6" s="19">
        <f t="shared" si="0"/>
        <v>19.14285714285711</v>
      </c>
      <c r="E6" s="17">
        <f t="shared" si="1"/>
        <v>3.0505156282013286E-2</v>
      </c>
    </row>
    <row r="7" spans="1:5" x14ac:dyDescent="0.2">
      <c r="A7" s="14" t="s">
        <v>558</v>
      </c>
      <c r="B7" s="13">
        <f>AVERAGEIFS('Daily Summary'!$I$2:$I$141,'Daily Summary'!$B$2:$B$141,"P1")</f>
        <v>42.214285714285715</v>
      </c>
      <c r="C7" s="13">
        <f>AVERAGEIFS('Daily Summary'!$I$2:$I$141,'Daily Summary'!$B$2:$B$141,"P2")</f>
        <v>41.4</v>
      </c>
      <c r="D7" s="16">
        <f t="shared" si="0"/>
        <v>-0.81428571428571672</v>
      </c>
      <c r="E7" s="17">
        <f t="shared" si="1"/>
        <v>-1.92893401015229E-2</v>
      </c>
    </row>
    <row r="8" spans="1:5" x14ac:dyDescent="0.2">
      <c r="A8" s="14" t="s">
        <v>559</v>
      </c>
      <c r="B8" s="13">
        <f>AVERAGEIFS('Daily Summary'!$J$2:$J$141,'Daily Summary'!$B$2:$B$141,"P1")</f>
        <v>65.045714285714283</v>
      </c>
      <c r="C8" s="13">
        <f>AVERAGEIFS('Daily Summary'!$J$2:$J$141,'Daily Summary'!$B$2:$B$141,"P2")</f>
        <v>62.098571428571425</v>
      </c>
      <c r="D8" s="16">
        <f t="shared" si="0"/>
        <v>-2.9471428571428575</v>
      </c>
      <c r="E8" s="17">
        <f t="shared" si="1"/>
        <v>-4.5308793815338672E-2</v>
      </c>
    </row>
    <row r="9" spans="1:5" x14ac:dyDescent="0.2">
      <c r="A9" s="14" t="s">
        <v>560</v>
      </c>
      <c r="B9" s="15">
        <f>COUNTIFS('Daily Summary'!$B$2:$B$141,"P1",'Daily Summary'!$N$2:$N$141,"&gt;0")</f>
        <v>50</v>
      </c>
      <c r="C9" s="15">
        <f>COUNTIFS('Daily Summary'!$B$2:$B$141,"P2",'Daily Summary'!$N$2:$N$141,"&gt;0")</f>
        <v>46</v>
      </c>
      <c r="D9" s="16">
        <f t="shared" si="0"/>
        <v>-4</v>
      </c>
      <c r="E9" s="17">
        <f t="shared" si="1"/>
        <v>-0.08</v>
      </c>
    </row>
    <row r="10" spans="1:5" x14ac:dyDescent="0.2">
      <c r="A10" s="14" t="s">
        <v>561</v>
      </c>
      <c r="B10" s="15">
        <f>SUMIFS('Daily Summary'!$N$2:$N$141,'Daily Summary'!$B$2:$B$141,"P1")</f>
        <v>66</v>
      </c>
      <c r="C10" s="15">
        <f>SUMIFS('Daily Summary'!$N$2:$N$141,'Daily Summary'!$B$2:$B$141,"P2")</f>
        <v>73</v>
      </c>
      <c r="D10" s="16">
        <f t="shared" si="0"/>
        <v>7</v>
      </c>
      <c r="E10" s="17">
        <f t="shared" si="1"/>
        <v>0.10606060606060606</v>
      </c>
    </row>
    <row r="11" spans="1:5" x14ac:dyDescent="0.2">
      <c r="A11" s="14" t="s">
        <v>562</v>
      </c>
      <c r="B11" s="15">
        <f>AVERAGEIFS('Daily Summary'!$O$2:$O$141,'Daily Summary'!$B$2:$B$141,"P1")</f>
        <v>57.081428571428567</v>
      </c>
      <c r="C11" s="15">
        <f>AVERAGEIFS('Daily Summary'!$O$2:$O$141,'Daily Summary'!$B$2:$B$141,"P2")</f>
        <v>56.53142857142857</v>
      </c>
      <c r="D11" s="16">
        <f t="shared" si="0"/>
        <v>-0.54999999999999716</v>
      </c>
      <c r="E11" s="17">
        <f t="shared" si="1"/>
        <v>-9.6353580098605517E-3</v>
      </c>
    </row>
    <row r="12" spans="1:5" x14ac:dyDescent="0.2">
      <c r="A12" s="14" t="s">
        <v>563</v>
      </c>
      <c r="B12" s="18">
        <f>AVERAGEIFS('Daily Summary'!$P$2:$P$141,'Daily Summary'!$B$2:$B$141,"P1")</f>
        <v>396.31285714285713</v>
      </c>
      <c r="C12" s="18">
        <f>AVERAGEIFS('Daily Summary'!$P$2:$P$141,'Daily Summary'!$B$2:$B$141,"P2")</f>
        <v>430.39857142857136</v>
      </c>
      <c r="D12" s="19">
        <f t="shared" si="0"/>
        <v>34.085714285714232</v>
      </c>
      <c r="E12" s="17">
        <f t="shared" si="1"/>
        <v>8.6007086753250361E-2</v>
      </c>
    </row>
    <row r="13" spans="1:5" x14ac:dyDescent="0.2">
      <c r="A13" s="14" t="s">
        <v>564</v>
      </c>
      <c r="B13" s="12">
        <f>AVERAGEIFS('Daily Summary'!$Q$2:$Q$141,'Daily Summary'!$B$2:$B$141,"P1")/60</f>
        <v>6.5466666666666669</v>
      </c>
      <c r="C13" s="12">
        <f>AVERAGEIFS('Daily Summary'!$Q$2:$Q$141,'Daily Summary'!$B$2:$B$141,"P2")/60</f>
        <v>6.0423809523809524</v>
      </c>
      <c r="D13" s="16">
        <f t="shared" si="0"/>
        <v>-0.50428571428571445</v>
      </c>
      <c r="E13" s="17">
        <f t="shared" si="1"/>
        <v>-7.7029386092522578E-2</v>
      </c>
    </row>
    <row r="14" spans="1:5" x14ac:dyDescent="0.2">
      <c r="A14" s="14" t="s">
        <v>565</v>
      </c>
      <c r="B14" s="15">
        <f>COUNTIFS('Daily Summary'!$B$2:$B$141,"P1",'Daily Summary'!$Q$2:$Q$141,"&lt;360")</f>
        <v>23</v>
      </c>
      <c r="C14" s="15">
        <f>COUNTIFS('Daily Summary'!$B$2:$B$141,"P2",'Daily Summary'!$Q$2:$Q$141,"&lt;360")</f>
        <v>36</v>
      </c>
      <c r="D14" s="16">
        <f t="shared" si="0"/>
        <v>13</v>
      </c>
      <c r="E14" s="17">
        <f t="shared" si="1"/>
        <v>0.56521739130434778</v>
      </c>
    </row>
    <row r="15" spans="1:5" x14ac:dyDescent="0.2">
      <c r="A15" s="14" t="s">
        <v>566</v>
      </c>
      <c r="B15" s="15">
        <f>AVERAGEIFS('Daily Summary'!$R$2:$R$141,'Daily Summary'!$B$2:$B$141,"P1")</f>
        <v>68.085714285714289</v>
      </c>
      <c r="C15" s="15">
        <f>AVERAGEIFS('Daily Summary'!$R$2:$R$141,'Daily Summary'!$B$2:$B$141,"P2")</f>
        <v>63.842857142857142</v>
      </c>
      <c r="D15" s="16">
        <f t="shared" si="0"/>
        <v>-4.2428571428571473</v>
      </c>
      <c r="E15" s="17">
        <f t="shared" si="1"/>
        <v>-6.2316407889215338E-2</v>
      </c>
    </row>
    <row r="16" spans="1:5" x14ac:dyDescent="0.2">
      <c r="A16" s="14" t="s">
        <v>567</v>
      </c>
      <c r="B16" s="15">
        <f>AVERAGEIFS('Daily Summary'!$T$2:$T$141,'Daily Summary'!$B$2:$B$141,"P1")</f>
        <v>93.428571428571431</v>
      </c>
      <c r="C16" s="15">
        <f>AVERAGEIFS('Daily Summary'!$T$2:$T$141,'Daily Summary'!$B$2:$B$141,"P2")</f>
        <v>81.414285714285711</v>
      </c>
      <c r="D16" s="16">
        <f t="shared" si="0"/>
        <v>-12.01428571428572</v>
      </c>
      <c r="E16" s="17">
        <f t="shared" si="1"/>
        <v>-0.12859327217125388</v>
      </c>
    </row>
    <row r="17" spans="1:5" x14ac:dyDescent="0.2">
      <c r="A17" s="14" t="s">
        <v>568</v>
      </c>
      <c r="B17" s="20">
        <f>SUMIFS('Daily Summary'!$R$2:$R$141,'Daily Summary'!$B$2:$B$141,"P1")/SUMIFS('Daily Summary'!$Q$2:$Q$141,'Daily Summary'!$B$2:$B$141,"P1")</f>
        <v>0.17333430317137039</v>
      </c>
      <c r="C17" s="20">
        <f>SUMIFS('Daily Summary'!$R$2:$R$141,'Daily Summary'!$B$2:$B$141,"P2")/SUMIFS('Daily Summary'!$Q$2:$Q$141,'Daily Summary'!$B$2:$B$141,"P2")</f>
        <v>0.17609740720308928</v>
      </c>
      <c r="D17" s="20">
        <f t="shared" si="0"/>
        <v>2.7631040317188937E-3</v>
      </c>
      <c r="E17" s="17">
        <f t="shared" si="1"/>
        <v>1.5940895605569178E-2</v>
      </c>
    </row>
    <row r="18" spans="1:5" x14ac:dyDescent="0.2">
      <c r="A18" s="14" t="s">
        <v>569</v>
      </c>
      <c r="B18" s="15">
        <f>COUNTIFS('Workout Sessions'!$B$2:$B$140,"P1",'Workout Sessions'!$C$2:$C$140,1)</f>
        <v>12</v>
      </c>
      <c r="C18" s="15">
        <f>COUNTIFS('Workout Sessions'!$B$2:$B$140,"P2",'Workout Sessions'!$C$2:$C$140,1)</f>
        <v>10</v>
      </c>
      <c r="D18" s="16">
        <f t="shared" si="0"/>
        <v>-2</v>
      </c>
      <c r="E18" s="17">
        <f t="shared" si="1"/>
        <v>-0.16666666666666666</v>
      </c>
    </row>
    <row r="19" spans="1:5" x14ac:dyDescent="0.2">
      <c r="A19" s="14" t="s">
        <v>570</v>
      </c>
      <c r="B19" s="13">
        <f>SUMIFS('Workout Sessions'!$G$2:$G$140,'Workout Sessions'!$B$2:$B$140,"P1",'Workout Sessions'!$C$2:$C$140,1)/1000</f>
        <v>84.698999999999998</v>
      </c>
      <c r="C19" s="13">
        <f>SUMIFS('Workout Sessions'!$G$2:$G$140,'Workout Sessions'!$B$2:$B$140,"P2",'Workout Sessions'!$C$2:$C$140,1)/1000</f>
        <v>63.643999999999998</v>
      </c>
      <c r="D19" s="16">
        <f t="shared" si="0"/>
        <v>-21.055</v>
      </c>
      <c r="E19" s="17">
        <f t="shared" si="1"/>
        <v>-0.24858616984852241</v>
      </c>
    </row>
    <row r="20" spans="1:5" x14ac:dyDescent="0.2">
      <c r="A20" s="14" t="s">
        <v>571</v>
      </c>
      <c r="B20" s="12">
        <f>AVERAGEIFS('Workout Sessions'!$I$2:$I$140,'Workout Sessions'!$B$2:$B$140,"P1",'Workout Sessions'!$C$2:$C$140,1)</f>
        <v>6.4097828353189836</v>
      </c>
      <c r="C20" s="12">
        <f>AVERAGEIFS('Workout Sessions'!$I$2:$I$140,'Workout Sessions'!$B$2:$B$140,"P2",'Workout Sessions'!$C$2:$C$140,1)</f>
        <v>6.4307622371703799</v>
      </c>
      <c r="D20" s="16">
        <f t="shared" si="0"/>
        <v>2.097940185139624E-2</v>
      </c>
      <c r="E20" s="17">
        <f t="shared" si="1"/>
        <v>3.2730284926029318E-3</v>
      </c>
    </row>
    <row r="22" spans="1:5" x14ac:dyDescent="0.2">
      <c r="A22" s="21" t="s">
        <v>572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7" customWidth="1"/>
    <col min="3" max="6" width="11" customWidth="1"/>
    <col min="7" max="7" width="13" customWidth="1"/>
  </cols>
  <sheetData>
    <row r="1" spans="1:7" ht="30" customHeight="1" x14ac:dyDescent="0.2">
      <c r="A1" s="1" t="s">
        <v>2</v>
      </c>
      <c r="B1" s="1" t="s">
        <v>553</v>
      </c>
      <c r="C1" s="1" t="s">
        <v>573</v>
      </c>
      <c r="D1" s="1" t="s">
        <v>574</v>
      </c>
      <c r="E1" s="1" t="s">
        <v>575</v>
      </c>
      <c r="F1" s="1" t="s">
        <v>576</v>
      </c>
      <c r="G1" s="1" t="s">
        <v>577</v>
      </c>
    </row>
    <row r="2" spans="1:7" x14ac:dyDescent="0.2">
      <c r="A2" s="4">
        <v>46153</v>
      </c>
      <c r="B2" s="3">
        <f>COUNTIF('Daily Summary'!$C$2:$C$141,A2)</f>
        <v>6</v>
      </c>
      <c r="C2" s="18">
        <f>AVERAGEIFS('Daily Summary'!$D$2:$D$141,'Daily Summary'!$C$2:$C$141,A2)</f>
        <v>6153.833333333333</v>
      </c>
      <c r="D2" s="13">
        <f>AVERAGEIFS('Daily Summary'!$I$2:$I$141,'Daily Summary'!$C$2:$C$141,A2)</f>
        <v>41.333333333333336</v>
      </c>
      <c r="E2" s="12">
        <f>AVERAGEIFS('Daily Summary'!$Q$2:$Q$141,'Daily Summary'!$C$2:$C$141,A2)/60</f>
        <v>7.8694444444444445</v>
      </c>
      <c r="F2" s="3">
        <f>SUMIFS('Daily Summary'!$N$2:$N$141,'Daily Summary'!$C$2:$C$141,A2)</f>
        <v>4</v>
      </c>
      <c r="G2" s="18">
        <f>AVERAGEIFS('Daily Summary'!$P$2:$P$141,'Daily Summary'!$C$2:$C$141,A2)</f>
        <v>272</v>
      </c>
    </row>
    <row r="3" spans="1:7" x14ac:dyDescent="0.2">
      <c r="A3" s="4">
        <v>46160</v>
      </c>
      <c r="B3" s="3">
        <f>COUNTIF('Daily Summary'!$C$2:$C$141,A3)</f>
        <v>7</v>
      </c>
      <c r="C3" s="18">
        <f>AVERAGEIFS('Daily Summary'!$D$2:$D$141,'Daily Summary'!$C$2:$C$141,A3)</f>
        <v>8889.1428571428569</v>
      </c>
      <c r="D3" s="13">
        <f>AVERAGEIFS('Daily Summary'!$I$2:$I$141,'Daily Summary'!$C$2:$C$141,A3)</f>
        <v>43.285714285714285</v>
      </c>
      <c r="E3" s="12">
        <f>AVERAGEIFS('Daily Summary'!$Q$2:$Q$141,'Daily Summary'!$C$2:$C$141,A3)/60</f>
        <v>7.2976190476190474</v>
      </c>
      <c r="F3" s="3">
        <f>SUMIFS('Daily Summary'!$N$2:$N$141,'Daily Summary'!$C$2:$C$141,A3)</f>
        <v>12</v>
      </c>
      <c r="G3" s="18">
        <f>AVERAGEIFS('Daily Summary'!$P$2:$P$141,'Daily Summary'!$C$2:$C$141,A3)</f>
        <v>631.75714285714275</v>
      </c>
    </row>
    <row r="4" spans="1:7" x14ac:dyDescent="0.2">
      <c r="A4" s="4">
        <v>46167</v>
      </c>
      <c r="B4" s="3">
        <f>COUNTIF('Daily Summary'!$C$2:$C$141,A4)</f>
        <v>7</v>
      </c>
      <c r="C4" s="18">
        <f>AVERAGEIFS('Daily Summary'!$D$2:$D$141,'Daily Summary'!$C$2:$C$141,A4)</f>
        <v>10005.142857142857</v>
      </c>
      <c r="D4" s="13">
        <f>AVERAGEIFS('Daily Summary'!$I$2:$I$141,'Daily Summary'!$C$2:$C$141,A4)</f>
        <v>42.285714285714285</v>
      </c>
      <c r="E4" s="12">
        <f>AVERAGEIFS('Daily Summary'!$Q$2:$Q$141,'Daily Summary'!$C$2:$C$141,A4)/60</f>
        <v>5.6642857142857137</v>
      </c>
      <c r="F4" s="3">
        <f>SUMIFS('Daily Summary'!$N$2:$N$141,'Daily Summary'!$C$2:$C$141,A4)</f>
        <v>11</v>
      </c>
      <c r="G4" s="18">
        <f>AVERAGEIFS('Daily Summary'!$P$2:$P$141,'Daily Summary'!$C$2:$C$141,A4)</f>
        <v>693.94285714285718</v>
      </c>
    </row>
    <row r="5" spans="1:7" x14ac:dyDescent="0.2">
      <c r="A5" s="4">
        <v>46174</v>
      </c>
      <c r="B5" s="3">
        <f>COUNTIF('Daily Summary'!$C$2:$C$141,A5)</f>
        <v>7</v>
      </c>
      <c r="C5" s="18">
        <f>AVERAGEIFS('Daily Summary'!$D$2:$D$141,'Daily Summary'!$C$2:$C$141,A5)</f>
        <v>7222.7142857142853</v>
      </c>
      <c r="D5" s="13">
        <f>AVERAGEIFS('Daily Summary'!$I$2:$I$141,'Daily Summary'!$C$2:$C$141,A5)</f>
        <v>41.285714285714285</v>
      </c>
      <c r="E5" s="12">
        <f>AVERAGEIFS('Daily Summary'!$Q$2:$Q$141,'Daily Summary'!$C$2:$C$141,A5)/60</f>
        <v>6.9642857142857135</v>
      </c>
      <c r="F5" s="3">
        <f>SUMIFS('Daily Summary'!$N$2:$N$141,'Daily Summary'!$C$2:$C$141,A5)</f>
        <v>2</v>
      </c>
      <c r="G5" s="18">
        <f>AVERAGEIFS('Daily Summary'!$P$2:$P$141,'Daily Summary'!$C$2:$C$141,A5)</f>
        <v>71.271428571428572</v>
      </c>
    </row>
    <row r="6" spans="1:7" x14ac:dyDescent="0.2">
      <c r="A6" s="4">
        <v>46181</v>
      </c>
      <c r="B6" s="3">
        <f>COUNTIF('Daily Summary'!$C$2:$C$141,A6)</f>
        <v>7</v>
      </c>
      <c r="C6" s="18">
        <f>AVERAGEIFS('Daily Summary'!$D$2:$D$141,'Daily Summary'!$C$2:$C$141,A6)</f>
        <v>8492.5714285714294</v>
      </c>
      <c r="D6" s="13">
        <f>AVERAGEIFS('Daily Summary'!$I$2:$I$141,'Daily Summary'!$C$2:$C$141,A6)</f>
        <v>41.428571428571431</v>
      </c>
      <c r="E6" s="12">
        <f>AVERAGEIFS('Daily Summary'!$Q$2:$Q$141,'Daily Summary'!$C$2:$C$141,A6)/60</f>
        <v>6.0738095238095244</v>
      </c>
      <c r="F6" s="3">
        <f>SUMIFS('Daily Summary'!$N$2:$N$141,'Daily Summary'!$C$2:$C$141,A6)</f>
        <v>8</v>
      </c>
      <c r="G6" s="18">
        <f>AVERAGEIFS('Daily Summary'!$P$2:$P$141,'Daily Summary'!$C$2:$C$141,A6)</f>
        <v>576.12857142857149</v>
      </c>
    </row>
    <row r="7" spans="1:7" x14ac:dyDescent="0.2">
      <c r="A7" s="4">
        <v>46188</v>
      </c>
      <c r="B7" s="3">
        <f>COUNTIF('Daily Summary'!$C$2:$C$141,A7)</f>
        <v>7</v>
      </c>
      <c r="C7" s="18">
        <f>AVERAGEIFS('Daily Summary'!$D$2:$D$141,'Daily Summary'!$C$2:$C$141,A7)</f>
        <v>8768.7142857142862</v>
      </c>
      <c r="D7" s="13">
        <f>AVERAGEIFS('Daily Summary'!$I$2:$I$141,'Daily Summary'!$C$2:$C$141,A7)</f>
        <v>42.714285714285715</v>
      </c>
      <c r="E7" s="12">
        <f>AVERAGEIFS('Daily Summary'!$Q$2:$Q$141,'Daily Summary'!$C$2:$C$141,A7)/60</f>
        <v>5.7809523809523808</v>
      </c>
      <c r="F7" s="3">
        <f>SUMIFS('Daily Summary'!$N$2:$N$141,'Daily Summary'!$C$2:$C$141,A7)</f>
        <v>6</v>
      </c>
      <c r="G7" s="18">
        <f>AVERAGEIFS('Daily Summary'!$P$2:$P$141,'Daily Summary'!$C$2:$C$141,A7)</f>
        <v>366.47142857142859</v>
      </c>
    </row>
    <row r="8" spans="1:7" x14ac:dyDescent="0.2">
      <c r="A8" s="4">
        <v>46195</v>
      </c>
      <c r="B8" s="3">
        <f>COUNTIF('Daily Summary'!$C$2:$C$141,A8)</f>
        <v>7</v>
      </c>
      <c r="C8" s="18">
        <f>AVERAGEIFS('Daily Summary'!$D$2:$D$141,'Daily Summary'!$C$2:$C$141,A8)</f>
        <v>8758</v>
      </c>
      <c r="D8" s="13">
        <f>AVERAGEIFS('Daily Summary'!$I$2:$I$141,'Daily Summary'!$C$2:$C$141,A8)</f>
        <v>43.714285714285715</v>
      </c>
      <c r="E8" s="12">
        <f>AVERAGEIFS('Daily Summary'!$Q$2:$Q$141,'Daily Summary'!$C$2:$C$141,A8)/60</f>
        <v>5.7976190476190474</v>
      </c>
      <c r="F8" s="3">
        <f>SUMIFS('Daily Summary'!$N$2:$N$141,'Daily Summary'!$C$2:$C$141,A8)</f>
        <v>8</v>
      </c>
      <c r="G8" s="18">
        <f>AVERAGEIFS('Daily Summary'!$P$2:$P$141,'Daily Summary'!$C$2:$C$141,A8)</f>
        <v>373.64285714285717</v>
      </c>
    </row>
    <row r="9" spans="1:7" x14ac:dyDescent="0.2">
      <c r="A9" s="4">
        <v>46202</v>
      </c>
      <c r="B9" s="3">
        <f>COUNTIF('Daily Summary'!$C$2:$C$141,A9)</f>
        <v>7</v>
      </c>
      <c r="C9" s="18">
        <f>AVERAGEIFS('Daily Summary'!$D$2:$D$141,'Daily Summary'!$C$2:$C$141,A9)</f>
        <v>8959.7142857142862</v>
      </c>
      <c r="D9" s="13">
        <f>AVERAGEIFS('Daily Summary'!$I$2:$I$141,'Daily Summary'!$C$2:$C$141,A9)</f>
        <v>41.714285714285715</v>
      </c>
      <c r="E9" s="12">
        <f>AVERAGEIFS('Daily Summary'!$Q$2:$Q$141,'Daily Summary'!$C$2:$C$141,A9)/60</f>
        <v>5.961904761904762</v>
      </c>
      <c r="F9" s="3">
        <f>SUMIFS('Daily Summary'!$N$2:$N$141,'Daily Summary'!$C$2:$C$141,A9)</f>
        <v>4</v>
      </c>
      <c r="G9" s="18">
        <f>AVERAGEIFS('Daily Summary'!$P$2:$P$141,'Daily Summary'!$C$2:$C$141,A9)</f>
        <v>491.58571428571429</v>
      </c>
    </row>
    <row r="10" spans="1:7" x14ac:dyDescent="0.2">
      <c r="A10" s="4">
        <v>46209</v>
      </c>
      <c r="B10" s="3">
        <f>COUNTIF('Daily Summary'!$C$2:$C$141,A10)</f>
        <v>7</v>
      </c>
      <c r="C10" s="18">
        <f>AVERAGEIFS('Daily Summary'!$D$2:$D$141,'Daily Summary'!$C$2:$C$141,A10)</f>
        <v>5449</v>
      </c>
      <c r="D10" s="13">
        <f>AVERAGEIFS('Daily Summary'!$I$2:$I$141,'Daily Summary'!$C$2:$C$141,A10)</f>
        <v>41.714285714285715</v>
      </c>
      <c r="E10" s="12">
        <f>AVERAGEIFS('Daily Summary'!$Q$2:$Q$141,'Daily Summary'!$C$2:$C$141,A10)/60</f>
        <v>7.4285714285714288</v>
      </c>
      <c r="F10" s="3">
        <f>SUMIFS('Daily Summary'!$N$2:$N$141,'Daily Summary'!$C$2:$C$141,A10)</f>
        <v>4</v>
      </c>
      <c r="G10" s="18">
        <f>AVERAGEIFS('Daily Summary'!$P$2:$P$141,'Daily Summary'!$C$2:$C$141,A10)</f>
        <v>152.14285714285714</v>
      </c>
    </row>
    <row r="11" spans="1:7" x14ac:dyDescent="0.2">
      <c r="A11" s="4">
        <v>46216</v>
      </c>
      <c r="B11" s="3">
        <f>COUNTIF('Daily Summary'!$C$2:$C$141,A11)</f>
        <v>7</v>
      </c>
      <c r="C11" s="18">
        <f>AVERAGEIFS('Daily Summary'!$D$2:$D$141,'Daily Summary'!$C$2:$C$141,A11)</f>
        <v>6344.1428571428569</v>
      </c>
      <c r="D11" s="13">
        <f>AVERAGEIFS('Daily Summary'!$I$2:$I$141,'Daily Summary'!$C$2:$C$141,A11)</f>
        <v>42.142857142857146</v>
      </c>
      <c r="E11" s="12">
        <f>AVERAGEIFS('Daily Summary'!$Q$2:$Q$141,'Daily Summary'!$C$2:$C$141,A11)/60</f>
        <v>7.3428571428571425</v>
      </c>
      <c r="F11" s="3">
        <f>SUMIFS('Daily Summary'!$N$2:$N$141,'Daily Summary'!$C$2:$C$141,A11)</f>
        <v>7</v>
      </c>
      <c r="G11" s="18">
        <f>AVERAGEIFS('Daily Summary'!$P$2:$P$141,'Daily Summary'!$C$2:$C$141,A11)</f>
        <v>373.04285714285714</v>
      </c>
    </row>
    <row r="12" spans="1:7" x14ac:dyDescent="0.2">
      <c r="A12" s="4">
        <v>46223</v>
      </c>
      <c r="B12" s="3">
        <f>COUNTIF('Daily Summary'!$C$2:$C$141,A12)</f>
        <v>7</v>
      </c>
      <c r="C12" s="18">
        <f>AVERAGEIFS('Daily Summary'!$D$2:$D$141,'Daily Summary'!$C$2:$C$141,A12)</f>
        <v>7482.5714285714284</v>
      </c>
      <c r="D12" s="13">
        <f>AVERAGEIFS('Daily Summary'!$I$2:$I$141,'Daily Summary'!$C$2:$C$141,A12)</f>
        <v>41.142857142857146</v>
      </c>
      <c r="E12" s="12">
        <f>AVERAGEIFS('Daily Summary'!$Q$2:$Q$141,'Daily Summary'!$C$2:$C$141,A12)/60</f>
        <v>6.2928571428571427</v>
      </c>
      <c r="F12" s="3">
        <f>SUMIFS('Daily Summary'!$N$2:$N$141,'Daily Summary'!$C$2:$C$141,A12)</f>
        <v>5</v>
      </c>
      <c r="G12" s="18">
        <f>AVERAGEIFS('Daily Summary'!$P$2:$P$141,'Daily Summary'!$C$2:$C$141,A12)</f>
        <v>343.57142857142856</v>
      </c>
    </row>
    <row r="13" spans="1:7" x14ac:dyDescent="0.2">
      <c r="A13" s="4">
        <v>46230</v>
      </c>
      <c r="B13" s="3">
        <f>COUNTIF('Daily Summary'!$C$2:$C$141,A13)</f>
        <v>7</v>
      </c>
      <c r="C13" s="18">
        <f>AVERAGEIFS('Daily Summary'!$D$2:$D$141,'Daily Summary'!$C$2:$C$141,A13)</f>
        <v>9118.5714285714294</v>
      </c>
      <c r="D13" s="13">
        <f>AVERAGEIFS('Daily Summary'!$I$2:$I$141,'Daily Summary'!$C$2:$C$141,A13)</f>
        <v>41.714285714285715</v>
      </c>
      <c r="E13" s="12">
        <f>AVERAGEIFS('Daily Summary'!$Q$2:$Q$141,'Daily Summary'!$C$2:$C$141,A13)/60</f>
        <v>4.871428571428571</v>
      </c>
      <c r="F13" s="3">
        <f>SUMIFS('Daily Summary'!$N$2:$N$141,'Daily Summary'!$C$2:$C$141,A13)</f>
        <v>8</v>
      </c>
      <c r="G13" s="18">
        <f>AVERAGEIFS('Daily Summary'!$P$2:$P$141,'Daily Summary'!$C$2:$C$141,A13)</f>
        <v>459.14285714285717</v>
      </c>
    </row>
    <row r="14" spans="1:7" x14ac:dyDescent="0.2">
      <c r="A14" s="4">
        <v>46237</v>
      </c>
      <c r="B14" s="3">
        <f>COUNTIF('Daily Summary'!$C$2:$C$141,A14)</f>
        <v>7</v>
      </c>
      <c r="C14" s="18">
        <f>AVERAGEIFS('Daily Summary'!$D$2:$D$141,'Daily Summary'!$C$2:$C$141,A14)</f>
        <v>6950.4285714285716</v>
      </c>
      <c r="D14" s="13">
        <f>AVERAGEIFS('Daily Summary'!$I$2:$I$141,'Daily Summary'!$C$2:$C$141,A14)</f>
        <v>40.571428571428569</v>
      </c>
      <c r="E14" s="12">
        <f>AVERAGEIFS('Daily Summary'!$Q$2:$Q$141,'Daily Summary'!$C$2:$C$141,A14)/60</f>
        <v>5.9357142857142859</v>
      </c>
      <c r="F14" s="3">
        <f>SUMIFS('Daily Summary'!$N$2:$N$141,'Daily Summary'!$C$2:$C$141,A14)</f>
        <v>7</v>
      </c>
      <c r="G14" s="18">
        <f>AVERAGEIFS('Daily Summary'!$P$2:$P$141,'Daily Summary'!$C$2:$C$141,A14)</f>
        <v>389.04285714285714</v>
      </c>
    </row>
    <row r="15" spans="1:7" x14ac:dyDescent="0.2">
      <c r="A15" s="4">
        <v>46244</v>
      </c>
      <c r="B15" s="3">
        <f>COUNTIF('Daily Summary'!$C$2:$C$141,A15)</f>
        <v>7</v>
      </c>
      <c r="C15" s="18">
        <f>AVERAGEIFS('Daily Summary'!$D$2:$D$141,'Daily Summary'!$C$2:$C$141,A15)</f>
        <v>6530.2857142857147</v>
      </c>
      <c r="D15" s="13">
        <f>AVERAGEIFS('Daily Summary'!$I$2:$I$141,'Daily Summary'!$C$2:$C$141,A15)</f>
        <v>42.857142857142854</v>
      </c>
      <c r="E15" s="12">
        <f>AVERAGEIFS('Daily Summary'!$Q$2:$Q$141,'Daily Summary'!$C$2:$C$141,A15)/60</f>
        <v>6.4190476190476193</v>
      </c>
      <c r="F15" s="3">
        <f>SUMIFS('Daily Summary'!$N$2:$N$141,'Daily Summary'!$C$2:$C$141,A15)</f>
        <v>7</v>
      </c>
      <c r="G15" s="18">
        <f>AVERAGEIFS('Daily Summary'!$P$2:$P$141,'Daily Summary'!$C$2:$C$141,A15)</f>
        <v>374.45714285714286</v>
      </c>
    </row>
    <row r="16" spans="1:7" x14ac:dyDescent="0.2">
      <c r="A16" s="4">
        <v>46251</v>
      </c>
      <c r="B16" s="3">
        <f>COUNTIF('Daily Summary'!$C$2:$C$141,A16)</f>
        <v>7</v>
      </c>
      <c r="C16" s="18">
        <f>AVERAGEIFS('Daily Summary'!$D$2:$D$141,'Daily Summary'!$C$2:$C$141,A16)</f>
        <v>9746.8571428571431</v>
      </c>
      <c r="D16" s="13">
        <f>AVERAGEIFS('Daily Summary'!$I$2:$I$141,'Daily Summary'!$C$2:$C$141,A16)</f>
        <v>43.857142857142854</v>
      </c>
      <c r="E16" s="12">
        <f>AVERAGEIFS('Daily Summary'!$Q$2:$Q$141,'Daily Summary'!$C$2:$C$141,A16)/60</f>
        <v>6.4738095238095239</v>
      </c>
      <c r="F16" s="3">
        <f>SUMIFS('Daily Summary'!$N$2:$N$141,'Daily Summary'!$C$2:$C$141,A16)</f>
        <v>9</v>
      </c>
      <c r="G16" s="18">
        <f>AVERAGEIFS('Daily Summary'!$P$2:$P$141,'Daily Summary'!$C$2:$C$141,A16)</f>
        <v>523.32857142857142</v>
      </c>
    </row>
    <row r="17" spans="1:7" x14ac:dyDescent="0.2">
      <c r="A17" s="4">
        <v>46258</v>
      </c>
      <c r="B17" s="3">
        <f>COUNTIF('Daily Summary'!$C$2:$C$141,A17)</f>
        <v>7</v>
      </c>
      <c r="C17" s="18">
        <f>AVERAGEIFS('Daily Summary'!$D$2:$D$141,'Daily Summary'!$C$2:$C$141,A17)</f>
        <v>6351.5714285714284</v>
      </c>
      <c r="D17" s="13">
        <f>AVERAGEIFS('Daily Summary'!$I$2:$I$141,'Daily Summary'!$C$2:$C$141,A17)</f>
        <v>41</v>
      </c>
      <c r="E17" s="12">
        <f>AVERAGEIFS('Daily Summary'!$Q$2:$Q$141,'Daily Summary'!$C$2:$C$141,A17)/60</f>
        <v>6.6738095238095241</v>
      </c>
      <c r="F17" s="3">
        <f>SUMIFS('Daily Summary'!$N$2:$N$141,'Daily Summary'!$C$2:$C$141,A17)</f>
        <v>9</v>
      </c>
      <c r="G17" s="18">
        <f>AVERAGEIFS('Daily Summary'!$P$2:$P$141,'Daily Summary'!$C$2:$C$141,A17)</f>
        <v>469.12857142857143</v>
      </c>
    </row>
    <row r="18" spans="1:7" x14ac:dyDescent="0.2">
      <c r="A18" s="4">
        <v>46265</v>
      </c>
      <c r="B18" s="3">
        <f>COUNTIF('Daily Summary'!$C$2:$C$141,A18)</f>
        <v>7</v>
      </c>
      <c r="C18" s="18">
        <f>AVERAGEIFS('Daily Summary'!$D$2:$D$141,'Daily Summary'!$C$2:$C$141,A18)</f>
        <v>6736.8571428571431</v>
      </c>
      <c r="D18" s="13">
        <f>AVERAGEIFS('Daily Summary'!$I$2:$I$141,'Daily Summary'!$C$2:$C$141,A18)</f>
        <v>40.857142857142854</v>
      </c>
      <c r="E18" s="12">
        <f>AVERAGEIFS('Daily Summary'!$Q$2:$Q$141,'Daily Summary'!$C$2:$C$141,A18)/60</f>
        <v>5.5357142857142865</v>
      </c>
      <c r="F18" s="3">
        <f>SUMIFS('Daily Summary'!$N$2:$N$141,'Daily Summary'!$C$2:$C$141,A18)</f>
        <v>7</v>
      </c>
      <c r="G18" s="18">
        <f>AVERAGEIFS('Daily Summary'!$P$2:$P$141,'Daily Summary'!$C$2:$C$141,A18)</f>
        <v>409.05714285714288</v>
      </c>
    </row>
    <row r="19" spans="1:7" x14ac:dyDescent="0.2">
      <c r="A19" s="4">
        <v>46272</v>
      </c>
      <c r="B19" s="3">
        <f>COUNTIF('Daily Summary'!$C$2:$C$141,A19)</f>
        <v>7</v>
      </c>
      <c r="C19" s="18">
        <f>AVERAGEIFS('Daily Summary'!$D$2:$D$141,'Daily Summary'!$C$2:$C$141,A19)</f>
        <v>9473</v>
      </c>
      <c r="D19" s="13">
        <f>AVERAGEIFS('Daily Summary'!$I$2:$I$141,'Daily Summary'!$C$2:$C$141,A19)</f>
        <v>41.285714285714285</v>
      </c>
      <c r="E19" s="12">
        <f>AVERAGEIFS('Daily Summary'!$Q$2:$Q$141,'Daily Summary'!$C$2:$C$141,A19)/60</f>
        <v>4.8809523809523805</v>
      </c>
      <c r="F19" s="3">
        <f>SUMIFS('Daily Summary'!$N$2:$N$141,'Daily Summary'!$C$2:$C$141,A19)</f>
        <v>9</v>
      </c>
      <c r="G19" s="18">
        <f>AVERAGEIFS('Daily Summary'!$P$2:$P$141,'Daily Summary'!$C$2:$C$141,A19)</f>
        <v>619.65714285714296</v>
      </c>
    </row>
    <row r="20" spans="1:7" x14ac:dyDescent="0.2">
      <c r="A20" s="4">
        <v>46279</v>
      </c>
      <c r="B20" s="3">
        <f>COUNTIF('Daily Summary'!$C$2:$C$141,A20)</f>
        <v>7</v>
      </c>
      <c r="C20" s="18">
        <f>AVERAGEIFS('Daily Summary'!$D$2:$D$141,'Daily Summary'!$C$2:$C$141,A20)</f>
        <v>5793</v>
      </c>
      <c r="D20" s="13">
        <f>AVERAGEIFS('Daily Summary'!$I$2:$I$141,'Daily Summary'!$C$2:$C$141,A20)</f>
        <v>40.142857142857146</v>
      </c>
      <c r="E20" s="12">
        <f>AVERAGEIFS('Daily Summary'!$Q$2:$Q$141,'Daily Summary'!$C$2:$C$141,A20)/60</f>
        <v>7.3571428571428577</v>
      </c>
      <c r="F20" s="3">
        <f>SUMIFS('Daily Summary'!$N$2:$N$141,'Daily Summary'!$C$2:$C$141,A20)</f>
        <v>4</v>
      </c>
      <c r="G20" s="18">
        <f>AVERAGEIFS('Daily Summary'!$P$2:$P$141,'Daily Summary'!$C$2:$C$141,A20)</f>
        <v>168.71428571428572</v>
      </c>
    </row>
    <row r="21" spans="1:7" x14ac:dyDescent="0.2">
      <c r="A21" s="4">
        <v>46286</v>
      </c>
      <c r="B21" s="3">
        <f>COUNTIF('Daily Summary'!$C$2:$C$141,A21)</f>
        <v>7</v>
      </c>
      <c r="C21" s="18">
        <f>AVERAGEIFS('Daily Summary'!$D$2:$D$141,'Daily Summary'!$C$2:$C$141,A21)</f>
        <v>9579.8571428571431</v>
      </c>
      <c r="D21" s="13">
        <f>AVERAGEIFS('Daily Summary'!$I$2:$I$141,'Daily Summary'!$C$2:$C$141,A21)</f>
        <v>40.857142857142854</v>
      </c>
      <c r="E21" s="12">
        <f>AVERAGEIFS('Daily Summary'!$Q$2:$Q$141,'Daily Summary'!$C$2:$C$141,A21)/60</f>
        <v>5.7523809523809524</v>
      </c>
      <c r="F21" s="3">
        <f>SUMIFS('Daily Summary'!$N$2:$N$141,'Daily Summary'!$C$2:$C$141,A21)</f>
        <v>7</v>
      </c>
      <c r="G21" s="18">
        <f>AVERAGEIFS('Daily Summary'!$P$2:$P$141,'Daily Summary'!$C$2:$C$141,A21)</f>
        <v>421.17142857142852</v>
      </c>
    </row>
    <row r="23" spans="1:7" x14ac:dyDescent="0.2">
      <c r="A23" s="21" t="s">
        <v>578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3"/>
  <sheetViews>
    <sheetView workbookViewId="0"/>
  </sheetViews>
  <sheetFormatPr baseColWidth="10" defaultColWidth="8.83203125" defaultRowHeight="15" x14ac:dyDescent="0.2"/>
  <cols>
    <col min="1" max="1" width="115" customWidth="1"/>
  </cols>
  <sheetData>
    <row r="1" spans="1:1" ht="18" x14ac:dyDescent="0.2">
      <c r="A1" s="22" t="s">
        <v>579</v>
      </c>
    </row>
    <row r="2" spans="1:1" ht="28" x14ac:dyDescent="0.2">
      <c r="A2" s="23" t="s">
        <v>580</v>
      </c>
    </row>
    <row r="3" spans="1:1" x14ac:dyDescent="0.2">
      <c r="A3" s="23" t="s">
        <v>581</v>
      </c>
    </row>
    <row r="4" spans="1:1" ht="28" x14ac:dyDescent="0.2">
      <c r="A4" s="23" t="s">
        <v>582</v>
      </c>
    </row>
    <row r="5" spans="1:1" x14ac:dyDescent="0.2">
      <c r="A5" s="23" t="s">
        <v>583</v>
      </c>
    </row>
    <row r="6" spans="1:1" x14ac:dyDescent="0.2">
      <c r="A6" s="23" t="s">
        <v>584</v>
      </c>
    </row>
    <row r="7" spans="1:1" ht="28" x14ac:dyDescent="0.2">
      <c r="A7" s="23" t="s">
        <v>585</v>
      </c>
    </row>
    <row r="8" spans="1:1" x14ac:dyDescent="0.2">
      <c r="A8" s="23" t="s">
        <v>586</v>
      </c>
    </row>
    <row r="9" spans="1:1" ht="28" x14ac:dyDescent="0.2">
      <c r="A9" s="23" t="s">
        <v>587</v>
      </c>
    </row>
    <row r="10" spans="1:1" ht="28" x14ac:dyDescent="0.2">
      <c r="A10" s="23" t="s">
        <v>588</v>
      </c>
    </row>
    <row r="11" spans="1:1" x14ac:dyDescent="0.2">
      <c r="A11" s="23" t="s">
        <v>589</v>
      </c>
    </row>
    <row r="12" spans="1:1" x14ac:dyDescent="0.2">
      <c r="A12" s="23" t="s">
        <v>590</v>
      </c>
    </row>
    <row r="13" spans="1:1" ht="28" x14ac:dyDescent="0.2">
      <c r="A13" s="23" t="s">
        <v>591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Daily Summary</vt:lpstr>
      <vt:lpstr>Workout Sessions</vt:lpstr>
      <vt:lpstr>Period Comparison</vt:lpstr>
      <vt:lpstr>Weekly Trends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Aaryaman Parulekar</cp:lastModifiedBy>
  <dcterms:created xsi:type="dcterms:W3CDTF">2026-09-29T05:59:53Z</dcterms:created>
  <dcterms:modified xsi:type="dcterms:W3CDTF">2026-09-29T05:59:55Z</dcterms:modified>
</cp:coreProperties>
</file>