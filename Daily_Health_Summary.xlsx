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aryamanparulekar/Documents/HealthData/"/>
    </mc:Choice>
  </mc:AlternateContent>
  <xr:revisionPtr revIDLastSave="0" documentId="13_ncr:1_{73944DD0-4D4B-C240-AC08-F3FA6F3818F4}" xr6:coauthVersionLast="47" xr6:coauthVersionMax="47" xr10:uidLastSave="{00000000-0000-0000-0000-000000000000}"/>
  <bookViews>
    <workbookView xWindow="0" yWindow="0" windowWidth="29400" windowHeight="19120" xr2:uid="{00000000-000D-0000-FFFF-FFFF00000000}"/>
  </bookViews>
  <sheets>
    <sheet name="Daily Summary" sheetId="1" r:id="rId1"/>
    <sheet name="Workout Sessions" sheetId="2" r:id="rId2"/>
    <sheet name="HRV (Monthly)" sheetId="3" r:id="rId3"/>
    <sheet name="Period Comparison" sheetId="4" r:id="rId4"/>
    <sheet name="Weekly Trends" sheetId="5" r:id="rId5"/>
    <sheet name="Notes" sheetId="6" r:id="rId6"/>
  </sheets>
  <definedNames>
    <definedName name="_xlnm._FilterDatabase" localSheetId="0" hidden="1">'Daily Summary'!$A$1:$AA$141</definedName>
    <definedName name="_xlnm._FilterDatabase" localSheetId="1" hidden="1">'Workout Sessions'!$A$1:$M$140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D24" i="4" s="1"/>
  <c r="B24" i="4"/>
  <c r="E24" i="4" s="1"/>
  <c r="C22" i="4"/>
  <c r="B22" i="4"/>
  <c r="E22" i="4" s="1"/>
  <c r="C21" i="4"/>
  <c r="D21" i="4" s="1"/>
  <c r="B21" i="4"/>
  <c r="C19" i="4"/>
  <c r="D19" i="4" s="1"/>
  <c r="B19" i="4"/>
  <c r="C18" i="4"/>
  <c r="B18" i="4"/>
  <c r="E18" i="4" s="1"/>
  <c r="C15" i="4"/>
  <c r="B15" i="4"/>
  <c r="E15" i="4" s="1"/>
  <c r="C14" i="4"/>
  <c r="B14" i="4"/>
  <c r="E14" i="4" s="1"/>
  <c r="C13" i="4"/>
  <c r="D13" i="4" s="1"/>
  <c r="B13" i="4"/>
  <c r="E13" i="4" s="1"/>
  <c r="C12" i="4"/>
  <c r="B12" i="4"/>
  <c r="E12" i="4" s="1"/>
  <c r="C11" i="4"/>
  <c r="B11" i="4"/>
  <c r="E11" i="4" s="1"/>
  <c r="C10" i="4"/>
  <c r="B10" i="4"/>
  <c r="E10" i="4" s="1"/>
  <c r="C9" i="4"/>
  <c r="D9" i="4" s="1"/>
  <c r="B9" i="4"/>
  <c r="E9" i="4" s="1"/>
  <c r="C8" i="4"/>
  <c r="B8" i="4"/>
  <c r="E8" i="4" s="1"/>
  <c r="C7" i="4"/>
  <c r="B7" i="4"/>
  <c r="E7" i="4" s="1"/>
  <c r="C6" i="4"/>
  <c r="B6" i="4"/>
  <c r="E6" i="4" s="1"/>
  <c r="C5" i="4"/>
  <c r="D5" i="4" s="1"/>
  <c r="B5" i="4"/>
  <c r="E5" i="4" s="1"/>
  <c r="C4" i="4"/>
  <c r="B4" i="4"/>
  <c r="E4" i="4" s="1"/>
  <c r="C3" i="4"/>
  <c r="B3" i="4"/>
  <c r="E3" i="4" s="1"/>
  <c r="C2" i="4"/>
  <c r="B2" i="4"/>
  <c r="E2" i="4" s="1"/>
  <c r="K140" i="2"/>
  <c r="I140" i="2"/>
  <c r="K139" i="2"/>
  <c r="I139" i="2"/>
  <c r="K138" i="2"/>
  <c r="I138" i="2"/>
  <c r="K137" i="2"/>
  <c r="I137" i="2"/>
  <c r="K136" i="2"/>
  <c r="I136" i="2"/>
  <c r="K135" i="2"/>
  <c r="I135" i="2"/>
  <c r="K134" i="2"/>
  <c r="I134" i="2"/>
  <c r="K133" i="2"/>
  <c r="I133" i="2"/>
  <c r="K132" i="2"/>
  <c r="I132" i="2"/>
  <c r="K131" i="2"/>
  <c r="I131" i="2"/>
  <c r="K130" i="2"/>
  <c r="I130" i="2"/>
  <c r="K129" i="2"/>
  <c r="I129" i="2"/>
  <c r="K128" i="2"/>
  <c r="I128" i="2"/>
  <c r="K127" i="2"/>
  <c r="I127" i="2"/>
  <c r="K126" i="2"/>
  <c r="I126" i="2"/>
  <c r="K125" i="2"/>
  <c r="I125" i="2"/>
  <c r="K124" i="2"/>
  <c r="I124" i="2"/>
  <c r="K123" i="2"/>
  <c r="I123" i="2"/>
  <c r="K122" i="2"/>
  <c r="I122" i="2"/>
  <c r="K121" i="2"/>
  <c r="I121" i="2"/>
  <c r="K120" i="2"/>
  <c r="I120" i="2"/>
  <c r="K119" i="2"/>
  <c r="I119" i="2"/>
  <c r="K118" i="2"/>
  <c r="I118" i="2"/>
  <c r="K117" i="2"/>
  <c r="I117" i="2"/>
  <c r="K116" i="2"/>
  <c r="I116" i="2"/>
  <c r="K115" i="2"/>
  <c r="I115" i="2"/>
  <c r="K114" i="2"/>
  <c r="I114" i="2"/>
  <c r="K113" i="2"/>
  <c r="I113" i="2"/>
  <c r="K112" i="2"/>
  <c r="I112" i="2"/>
  <c r="K111" i="2"/>
  <c r="I111" i="2"/>
  <c r="K110" i="2"/>
  <c r="I110" i="2"/>
  <c r="K109" i="2"/>
  <c r="I109" i="2"/>
  <c r="K108" i="2"/>
  <c r="I108" i="2"/>
  <c r="K107" i="2"/>
  <c r="I107" i="2"/>
  <c r="K106" i="2"/>
  <c r="I106" i="2"/>
  <c r="K105" i="2"/>
  <c r="I105" i="2"/>
  <c r="K104" i="2"/>
  <c r="I104" i="2"/>
  <c r="K103" i="2"/>
  <c r="I103" i="2"/>
  <c r="K102" i="2"/>
  <c r="I102" i="2"/>
  <c r="K101" i="2"/>
  <c r="I101" i="2"/>
  <c r="K100" i="2"/>
  <c r="I100" i="2"/>
  <c r="K99" i="2"/>
  <c r="I99" i="2"/>
  <c r="K98" i="2"/>
  <c r="I98" i="2"/>
  <c r="K97" i="2"/>
  <c r="I97" i="2"/>
  <c r="K96" i="2"/>
  <c r="I96" i="2"/>
  <c r="K95" i="2"/>
  <c r="I95" i="2"/>
  <c r="K94" i="2"/>
  <c r="I94" i="2"/>
  <c r="K93" i="2"/>
  <c r="I93" i="2"/>
  <c r="K92" i="2"/>
  <c r="I92" i="2"/>
  <c r="K91" i="2"/>
  <c r="I91" i="2"/>
  <c r="K90" i="2"/>
  <c r="I90" i="2"/>
  <c r="K89" i="2"/>
  <c r="I89" i="2"/>
  <c r="K88" i="2"/>
  <c r="I88" i="2"/>
  <c r="K87" i="2"/>
  <c r="I87" i="2"/>
  <c r="K86" i="2"/>
  <c r="I86" i="2"/>
  <c r="K85" i="2"/>
  <c r="I85" i="2"/>
  <c r="K84" i="2"/>
  <c r="I84" i="2"/>
  <c r="K83" i="2"/>
  <c r="I83" i="2"/>
  <c r="K82" i="2"/>
  <c r="I82" i="2"/>
  <c r="K81" i="2"/>
  <c r="I81" i="2"/>
  <c r="K80" i="2"/>
  <c r="I80" i="2"/>
  <c r="K79" i="2"/>
  <c r="I79" i="2"/>
  <c r="K78" i="2"/>
  <c r="I78" i="2"/>
  <c r="K77" i="2"/>
  <c r="I77" i="2"/>
  <c r="K76" i="2"/>
  <c r="I76" i="2"/>
  <c r="K75" i="2"/>
  <c r="I75" i="2"/>
  <c r="K74" i="2"/>
  <c r="I74" i="2"/>
  <c r="C23" i="4" s="1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64" i="2"/>
  <c r="I64" i="2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K56" i="2"/>
  <c r="I56" i="2"/>
  <c r="K55" i="2"/>
  <c r="I55" i="2"/>
  <c r="K54" i="2"/>
  <c r="I54" i="2"/>
  <c r="K53" i="2"/>
  <c r="I53" i="2"/>
  <c r="K52" i="2"/>
  <c r="I52" i="2"/>
  <c r="K51" i="2"/>
  <c r="I51" i="2"/>
  <c r="K50" i="2"/>
  <c r="I50" i="2"/>
  <c r="K49" i="2"/>
  <c r="I49" i="2"/>
  <c r="K48" i="2"/>
  <c r="I48" i="2"/>
  <c r="K47" i="2"/>
  <c r="I47" i="2"/>
  <c r="K46" i="2"/>
  <c r="I46" i="2"/>
  <c r="K45" i="2"/>
  <c r="I45" i="2"/>
  <c r="K44" i="2"/>
  <c r="I44" i="2"/>
  <c r="K43" i="2"/>
  <c r="I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I33" i="2"/>
  <c r="K32" i="2"/>
  <c r="I3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K2" i="2"/>
  <c r="I2" i="2"/>
  <c r="S141" i="1"/>
  <c r="C141" i="1"/>
  <c r="S140" i="1"/>
  <c r="C140" i="1"/>
  <c r="S139" i="1"/>
  <c r="C139" i="1"/>
  <c r="S138" i="1"/>
  <c r="C138" i="1"/>
  <c r="S137" i="1"/>
  <c r="C137" i="1"/>
  <c r="S136" i="1"/>
  <c r="C136" i="1"/>
  <c r="S135" i="1"/>
  <c r="C135" i="1"/>
  <c r="S134" i="1"/>
  <c r="C134" i="1"/>
  <c r="S133" i="1"/>
  <c r="C133" i="1"/>
  <c r="S132" i="1"/>
  <c r="C132" i="1"/>
  <c r="S131" i="1"/>
  <c r="C131" i="1"/>
  <c r="S130" i="1"/>
  <c r="C130" i="1"/>
  <c r="S129" i="1"/>
  <c r="C129" i="1"/>
  <c r="S128" i="1"/>
  <c r="C128" i="1"/>
  <c r="S127" i="1"/>
  <c r="C127" i="1"/>
  <c r="S126" i="1"/>
  <c r="C126" i="1"/>
  <c r="S125" i="1"/>
  <c r="C125" i="1"/>
  <c r="S124" i="1"/>
  <c r="C124" i="1"/>
  <c r="S123" i="1"/>
  <c r="C123" i="1"/>
  <c r="S122" i="1"/>
  <c r="C122" i="1"/>
  <c r="S121" i="1"/>
  <c r="C121" i="1"/>
  <c r="S120" i="1"/>
  <c r="C120" i="1"/>
  <c r="S119" i="1"/>
  <c r="C119" i="1"/>
  <c r="S118" i="1"/>
  <c r="C118" i="1"/>
  <c r="S117" i="1"/>
  <c r="C117" i="1"/>
  <c r="S116" i="1"/>
  <c r="C116" i="1"/>
  <c r="S115" i="1"/>
  <c r="C115" i="1"/>
  <c r="S114" i="1"/>
  <c r="C114" i="1"/>
  <c r="S113" i="1"/>
  <c r="C113" i="1"/>
  <c r="S112" i="1"/>
  <c r="C112" i="1"/>
  <c r="S111" i="1"/>
  <c r="C111" i="1"/>
  <c r="S110" i="1"/>
  <c r="C110" i="1"/>
  <c r="S109" i="1"/>
  <c r="C109" i="1"/>
  <c r="S108" i="1"/>
  <c r="C108" i="1"/>
  <c r="S107" i="1"/>
  <c r="C107" i="1"/>
  <c r="S106" i="1"/>
  <c r="C106" i="1"/>
  <c r="S105" i="1"/>
  <c r="C105" i="1"/>
  <c r="S104" i="1"/>
  <c r="C104" i="1"/>
  <c r="S103" i="1"/>
  <c r="C103" i="1"/>
  <c r="S102" i="1"/>
  <c r="C102" i="1"/>
  <c r="S101" i="1"/>
  <c r="C101" i="1"/>
  <c r="S100" i="1"/>
  <c r="C100" i="1"/>
  <c r="S99" i="1"/>
  <c r="C99" i="1"/>
  <c r="S98" i="1"/>
  <c r="C98" i="1"/>
  <c r="S97" i="1"/>
  <c r="C97" i="1"/>
  <c r="S96" i="1"/>
  <c r="C96" i="1"/>
  <c r="S95" i="1"/>
  <c r="C95" i="1"/>
  <c r="S94" i="1"/>
  <c r="C94" i="1"/>
  <c r="S93" i="1"/>
  <c r="C93" i="1"/>
  <c r="S92" i="1"/>
  <c r="C92" i="1"/>
  <c r="S91" i="1"/>
  <c r="C91" i="1"/>
  <c r="S90" i="1"/>
  <c r="C90" i="1"/>
  <c r="S89" i="1"/>
  <c r="C89" i="1"/>
  <c r="S88" i="1"/>
  <c r="C88" i="1"/>
  <c r="S87" i="1"/>
  <c r="C87" i="1"/>
  <c r="S86" i="1"/>
  <c r="C86" i="1"/>
  <c r="S85" i="1"/>
  <c r="C85" i="1"/>
  <c r="S84" i="1"/>
  <c r="C84" i="1"/>
  <c r="S83" i="1"/>
  <c r="C83" i="1"/>
  <c r="S82" i="1"/>
  <c r="C82" i="1"/>
  <c r="S81" i="1"/>
  <c r="C81" i="1"/>
  <c r="S80" i="1"/>
  <c r="C80" i="1"/>
  <c r="S79" i="1"/>
  <c r="C79" i="1"/>
  <c r="S78" i="1"/>
  <c r="C78" i="1"/>
  <c r="S77" i="1"/>
  <c r="C77" i="1"/>
  <c r="S76" i="1"/>
  <c r="C76" i="1"/>
  <c r="S75" i="1"/>
  <c r="C75" i="1"/>
  <c r="S74" i="1"/>
  <c r="C74" i="1"/>
  <c r="S73" i="1"/>
  <c r="C73" i="1"/>
  <c r="S72" i="1"/>
  <c r="C72" i="1"/>
  <c r="S71" i="1"/>
  <c r="C71" i="1"/>
  <c r="S70" i="1"/>
  <c r="C70" i="1"/>
  <c r="S69" i="1"/>
  <c r="C69" i="1"/>
  <c r="S68" i="1"/>
  <c r="C68" i="1"/>
  <c r="S67" i="1"/>
  <c r="C67" i="1"/>
  <c r="S66" i="1"/>
  <c r="C66" i="1"/>
  <c r="S65" i="1"/>
  <c r="C65" i="1"/>
  <c r="S64" i="1"/>
  <c r="C64" i="1"/>
  <c r="S63" i="1"/>
  <c r="C63" i="1"/>
  <c r="S62" i="1"/>
  <c r="C62" i="1"/>
  <c r="S61" i="1"/>
  <c r="C61" i="1"/>
  <c r="S60" i="1"/>
  <c r="C60" i="1"/>
  <c r="S59" i="1"/>
  <c r="C59" i="1"/>
  <c r="S58" i="1"/>
  <c r="C58" i="1"/>
  <c r="S57" i="1"/>
  <c r="C57" i="1"/>
  <c r="S56" i="1"/>
  <c r="C56" i="1"/>
  <c r="S55" i="1"/>
  <c r="C55" i="1"/>
  <c r="S54" i="1"/>
  <c r="C54" i="1"/>
  <c r="S53" i="1"/>
  <c r="C53" i="1"/>
  <c r="S52" i="1"/>
  <c r="C52" i="1"/>
  <c r="S51" i="1"/>
  <c r="C51" i="1"/>
  <c r="S50" i="1"/>
  <c r="C50" i="1"/>
  <c r="S49" i="1"/>
  <c r="C49" i="1"/>
  <c r="S48" i="1"/>
  <c r="C48" i="1"/>
  <c r="S47" i="1"/>
  <c r="C47" i="1"/>
  <c r="S46" i="1"/>
  <c r="C46" i="1"/>
  <c r="S45" i="1"/>
  <c r="C45" i="1"/>
  <c r="S44" i="1"/>
  <c r="C44" i="1"/>
  <c r="S43" i="1"/>
  <c r="C43" i="1"/>
  <c r="S42" i="1"/>
  <c r="C42" i="1"/>
  <c r="S41" i="1"/>
  <c r="C41" i="1"/>
  <c r="S40" i="1"/>
  <c r="C40" i="1"/>
  <c r="S39" i="1"/>
  <c r="C39" i="1"/>
  <c r="S38" i="1"/>
  <c r="C38" i="1"/>
  <c r="S37" i="1"/>
  <c r="C37" i="1"/>
  <c r="S36" i="1"/>
  <c r="C36" i="1"/>
  <c r="S35" i="1"/>
  <c r="C35" i="1"/>
  <c r="S34" i="1"/>
  <c r="C34" i="1"/>
  <c r="S33" i="1"/>
  <c r="C33" i="1"/>
  <c r="S32" i="1"/>
  <c r="C32" i="1"/>
  <c r="S31" i="1"/>
  <c r="C31" i="1"/>
  <c r="S30" i="1"/>
  <c r="C30" i="1"/>
  <c r="S29" i="1"/>
  <c r="C29" i="1"/>
  <c r="S28" i="1"/>
  <c r="C28" i="1"/>
  <c r="S27" i="1"/>
  <c r="C27" i="1"/>
  <c r="S26" i="1"/>
  <c r="C26" i="1"/>
  <c r="S25" i="1"/>
  <c r="C25" i="1"/>
  <c r="S24" i="1"/>
  <c r="C24" i="1"/>
  <c r="S23" i="1"/>
  <c r="C23" i="1"/>
  <c r="S22" i="1"/>
  <c r="C22" i="1"/>
  <c r="S21" i="1"/>
  <c r="C21" i="1"/>
  <c r="S20" i="1"/>
  <c r="C20" i="1"/>
  <c r="S19" i="1"/>
  <c r="C19" i="1"/>
  <c r="S18" i="1"/>
  <c r="C18" i="1"/>
  <c r="S17" i="1"/>
  <c r="C17" i="1"/>
  <c r="S16" i="1"/>
  <c r="C16" i="1"/>
  <c r="S15" i="1"/>
  <c r="C15" i="1"/>
  <c r="S14" i="1"/>
  <c r="C14" i="1"/>
  <c r="S13" i="1"/>
  <c r="C13" i="1"/>
  <c r="S12" i="1"/>
  <c r="C12" i="1"/>
  <c r="S11" i="1"/>
  <c r="C11" i="1"/>
  <c r="S10" i="1"/>
  <c r="C10" i="1"/>
  <c r="S9" i="1"/>
  <c r="C9" i="1"/>
  <c r="S8" i="1"/>
  <c r="C8" i="1"/>
  <c r="S7" i="1"/>
  <c r="C7" i="1"/>
  <c r="S6" i="1"/>
  <c r="C6" i="1"/>
  <c r="S5" i="1"/>
  <c r="C5" i="1"/>
  <c r="S4" i="1"/>
  <c r="C4" i="1"/>
  <c r="S3" i="1"/>
  <c r="C3" i="1"/>
  <c r="S2" i="1"/>
  <c r="B16" i="4" s="1"/>
  <c r="C2" i="1"/>
  <c r="I21" i="5" s="1"/>
  <c r="D2" i="4" l="1"/>
  <c r="D6" i="4"/>
  <c r="D10" i="4"/>
  <c r="D14" i="4"/>
  <c r="B20" i="4"/>
  <c r="E21" i="4"/>
  <c r="C20" i="4"/>
  <c r="D7" i="4"/>
  <c r="B17" i="4"/>
  <c r="D4" i="4"/>
  <c r="D8" i="4"/>
  <c r="D12" i="4"/>
  <c r="D22" i="4"/>
  <c r="D15" i="4"/>
  <c r="B23" i="4"/>
  <c r="E23" i="4" s="1"/>
  <c r="D18" i="4"/>
  <c r="D3" i="4"/>
  <c r="D11" i="4"/>
  <c r="E19" i="4"/>
  <c r="E20" i="4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C17" i="4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C16" i="4"/>
  <c r="D16" i="4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D23" i="4" l="1"/>
  <c r="D20" i="4"/>
  <c r="D17" i="4"/>
  <c r="E16" i="4"/>
  <c r="E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One period per export folder: P1: 12 May – 20 Jul 2026; P2: 21 Jul – 28 Sep 2026.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Lowest HEARTRATE_AUTO reading of the day. The export has no dedicated resting-HR field.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Average heart rate across the night's sleep (SLEEP_MINUTE), attached to the wake-up date.</t>
        </r>
      </text>
    </comment>
    <comment ref="M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Minutes with HR ≥ 140 bpm (70% of age-predicted max 200).</t>
        </r>
      </text>
    </comment>
    <comment ref="N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Monthly HRV baseline from the Zepp app, entered from screenshots (manual_data/hrv_monthly.csv). HRV isn't in the export, so every day of a month shows that month's baseline. See the HRV tab.</t>
        </r>
      </text>
    </comment>
    <comment ref="X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Converted from the export's UTC timestamps to IST (UTC+5:30).</t>
        </r>
      </text>
    </comment>
    <comment ref="AA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BMR (Katch-McArdle, 65 kg, 13% body fat) + non-workout step calories + workout calories. See ANALYSIS.md.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Blank when distance &lt; 500 m: those sessions are GPS dropouts, so their pace isn't real.</t>
        </r>
      </text>
    </comment>
    <comment ref="L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Average of HEARTRATE_AUTO readings inside the session window.</t>
        </r>
      </text>
    </comment>
  </commentList>
</comments>
</file>

<file path=xl/sharedStrings.xml><?xml version="1.0" encoding="utf-8"?>
<sst xmlns="http://schemas.openxmlformats.org/spreadsheetml/2006/main" count="626" uniqueCount="204">
  <si>
    <t>Date</t>
  </si>
  <si>
    <t>Period</t>
  </si>
  <si>
    <t>Week Start (Mon)</t>
  </si>
  <si>
    <t>Steps</t>
  </si>
  <si>
    <t>Distance (km)</t>
  </si>
  <si>
    <t>Run Distance (km)</t>
  </si>
  <si>
    <t>Activity Calories (kcal)</t>
  </si>
  <si>
    <t>Active Minutes</t>
  </si>
  <si>
    <t>Resting HR (bpm)</t>
  </si>
  <si>
    <t>Avg HR (bpm)</t>
  </si>
  <si>
    <t>Max HR (bpm)</t>
  </si>
  <si>
    <t>Sleeping HR (bpm)</t>
  </si>
  <si>
    <t>Vigorous Minutes (HR ≥ 140)</t>
  </si>
  <si>
    <t>HRV Baseline (monthly, ms)</t>
  </si>
  <si>
    <t>Workout(s)</t>
  </si>
  <si>
    <t>Workout Count</t>
  </si>
  <si>
    <t>Workout Minutes</t>
  </si>
  <si>
    <t>Workout Calories (kcal)</t>
  </si>
  <si>
    <t>Total Sleep (min)</t>
  </si>
  <si>
    <t>Deep Sleep (min)</t>
  </si>
  <si>
    <t>Light Sleep (min)</t>
  </si>
  <si>
    <t>REM Sleep (min)</t>
  </si>
  <si>
    <t>Time Awake (min)</t>
  </si>
  <si>
    <t>Fell Asleep (IST)</t>
  </si>
  <si>
    <t>Woke Up (IST)</t>
  </si>
  <si>
    <t>Naps (count)</t>
  </si>
  <si>
    <t>Est. Energy Burned (kcal)</t>
  </si>
  <si>
    <t>P1</t>
  </si>
  <si>
    <t>Strength/Gym (28 min); Indoor cardio/HIIT (94 min)</t>
  </si>
  <si>
    <t>Strength/Gym (55 min)</t>
  </si>
  <si>
    <t>Strength/Gym (52 min)</t>
  </si>
  <si>
    <t>Strength/Gym (45 min); Running (31 min)</t>
  </si>
  <si>
    <t>Walk/Jog (44 min); Strength/Gym (60 min)</t>
  </si>
  <si>
    <t>Indoor workout (51 min)</t>
  </si>
  <si>
    <t>Strength/Gym (51 min); Running (28 min)</t>
  </si>
  <si>
    <t>Strength/Gym (44 min)</t>
  </si>
  <si>
    <t>High-intensity indoor (85) (71 min)</t>
  </si>
  <si>
    <t>Running (40 min); Running (19 min); Indoor cardio/HIIT (66 min)</t>
  </si>
  <si>
    <t>Strength/Gym (37 min)</t>
  </si>
  <si>
    <t>High-intensity indoor (85) (65 min)</t>
  </si>
  <si>
    <t>Indoor workout (52 min); Strength/Gym (42 min)</t>
  </si>
  <si>
    <t>Running (66 min); Walk/Jog (28 min); Indoor workout (46 min)</t>
  </si>
  <si>
    <t>Indoor cardio/HIIT (90 min)</t>
  </si>
  <si>
    <t>Running (21 min); Strength/Gym (31 min); Indoor cardio/HIIT (108 min)</t>
  </si>
  <si>
    <t>Walk/Jog (15 min); Indoor workout (71 min)</t>
  </si>
  <si>
    <t>Strength/Gym (113 min)</t>
  </si>
  <si>
    <t>Strength/Gym (73 min)</t>
  </si>
  <si>
    <t>High-intensity indoor (85) (54 min)</t>
  </si>
  <si>
    <t>Strength/Gym (105 min)</t>
  </si>
  <si>
    <t>Indoor workout (73 min)</t>
  </si>
  <si>
    <t>Strength/Gym (65 min)</t>
  </si>
  <si>
    <t>Walk/Jog (38 min); Indoor cardio/HIIT (108 min)</t>
  </si>
  <si>
    <t>Running (51 min)</t>
  </si>
  <si>
    <t>Indoor workout (271 min)</t>
  </si>
  <si>
    <t>Strength/Gym (60 min)</t>
  </si>
  <si>
    <t>Strength/Gym (59 min)</t>
  </si>
  <si>
    <t>Indoor workout (62 min)</t>
  </si>
  <si>
    <t>Strength/Gym (69 min)</t>
  </si>
  <si>
    <t>Strength/Gym (0 min); Running (59 min)</t>
  </si>
  <si>
    <t>Strength/Gym (67 min)</t>
  </si>
  <si>
    <t>Indoor cardio/HIIT (105 min)</t>
  </si>
  <si>
    <t>Running (31 min); Indoor workout (30 min)</t>
  </si>
  <si>
    <t>Strength/Gym (48 min)</t>
  </si>
  <si>
    <t>Running (104 min)</t>
  </si>
  <si>
    <t>Running (136 min)</t>
  </si>
  <si>
    <t>Strength/Gym (77 min)</t>
  </si>
  <si>
    <t>Strength/Gym (49 min)</t>
  </si>
  <si>
    <t>Strength/Gym (68 min)</t>
  </si>
  <si>
    <t>Strength/Gym (71 min)</t>
  </si>
  <si>
    <t>Running (11 min); Indoor workout (48 min)</t>
  </si>
  <si>
    <t>Indoor cardio/HIIT (94 min)</t>
  </si>
  <si>
    <t>Indoor workout (32 min)</t>
  </si>
  <si>
    <t>P2</t>
  </si>
  <si>
    <t>Strength/Gym (64 min)</t>
  </si>
  <si>
    <t>Strength/Gym (54 min); Indoor cardio/HIIT (63 min)</t>
  </si>
  <si>
    <t>Indoor cardio/HIIT (51 min); Indoor cardio/HIIT (48 min)</t>
  </si>
  <si>
    <t>Strength/Gym (56 min)</t>
  </si>
  <si>
    <t>Running (21 min); Strength/Gym (57 min); Indoor cardio/HIIT (114 min)</t>
  </si>
  <si>
    <t>Strength/Gym (18 min); Walk/Jog (27 min)</t>
  </si>
  <si>
    <t>Strength/Gym (68 min); Indoor cardio/HIIT (55 min)</t>
  </si>
  <si>
    <t>Strength/Gym (41 min)</t>
  </si>
  <si>
    <t>Indoor cardio/HIIT (51 min)</t>
  </si>
  <si>
    <t>Running (50 min); Indoor cardio/HIIT (103 min)</t>
  </si>
  <si>
    <t>Cycling (76 min); High-intensity indoor (85) (13 min); High-intensity indoor (85) (10 min)</t>
  </si>
  <si>
    <t>Strength/Gym (42 min)</t>
  </si>
  <si>
    <t>Walk/Jog (51 min); Indoor cardio/HIIT (50 min)</t>
  </si>
  <si>
    <t>Strength/Gym (62 min)</t>
  </si>
  <si>
    <t>Strength/Gym (76 min); Indoor cardio/HIIT (71 min)</t>
  </si>
  <si>
    <t>Indoor workout (52 min); Strength/Gym (51 min)</t>
  </si>
  <si>
    <t>Walk/Jog (32 min); High-intensity indoor (191) (54 min)</t>
  </si>
  <si>
    <t>High-intensity indoor (191) (103 min)</t>
  </si>
  <si>
    <t>High-intensity indoor (191) (78 min)</t>
  </si>
  <si>
    <t>High-intensity indoor (85) (29 min)</t>
  </si>
  <si>
    <t>Running (12 min); Walk/Jog (27 min)</t>
  </si>
  <si>
    <t>Running (65 min); Strength/Gym (50 min)</t>
  </si>
  <si>
    <t>High-intensity indoor (191) (55 min)</t>
  </si>
  <si>
    <t>Strength/Gym (69 min); Indoor cardio/HIIT (42 min)</t>
  </si>
  <si>
    <t>Running (20 min); Strength/Gym (57 min); High-intensity indoor (191) (51 min)</t>
  </si>
  <si>
    <t>High-intensity indoor (191) (54 min)</t>
  </si>
  <si>
    <t>Strength/Gym (51 min); Indoor cardio/HIIT (46 min)</t>
  </si>
  <si>
    <t>Indoor workout (66 min); High-intensity indoor (191) (63 min)</t>
  </si>
  <si>
    <t>Running (42 min)</t>
  </si>
  <si>
    <t>Running (53 min); Strength/Gym (67 min)</t>
  </si>
  <si>
    <t>Strength/Gym (43 min)</t>
  </si>
  <si>
    <t>Indoor cardio/HIIT (37 min); Indoor workout (51 min); High-intensity indoor (191) (59 min)</t>
  </si>
  <si>
    <t>High-intensity indoor (85) (95 min); Strength/Gym (50 min)</t>
  </si>
  <si>
    <t>Indoor cardio/HIIT (107 min)</t>
  </si>
  <si>
    <t>Strength/Gym (34 min)</t>
  </si>
  <si>
    <t>Strength/Gym (35 min); Indoor cardio/HIIT (40 min)</t>
  </si>
  <si>
    <t>High-intensity indoor (85) (88 min)</t>
  </si>
  <si>
    <t>Running (21 min); Strength/Gym (47 min)</t>
  </si>
  <si>
    <t>Strength/Gym (58 min)</t>
  </si>
  <si>
    <t>Running (20 min); High-intensity indoor (191) (58 min)</t>
  </si>
  <si>
    <t>Strength/Gym (50 min)</t>
  </si>
  <si>
    <t>Running (116 min)</t>
  </si>
  <si>
    <t>High-intensity indoor (85) (107 min)</t>
  </si>
  <si>
    <t>Date (IST)</t>
  </si>
  <si>
    <t>Type Code</t>
  </si>
  <si>
    <t>Inferred Activity</t>
  </si>
  <si>
    <t>Start (IST)</t>
  </si>
  <si>
    <t>Duration (min)</t>
  </si>
  <si>
    <t>Distance (m)</t>
  </si>
  <si>
    <t>Avg Pace raw (s/m)</t>
  </si>
  <si>
    <t>Pace (min/km)</t>
  </si>
  <si>
    <t>Calories (kcal)</t>
  </si>
  <si>
    <t>kcal / min</t>
  </si>
  <si>
    <t>Strength/Gym</t>
  </si>
  <si>
    <t>Indoor cardio/HIIT</t>
  </si>
  <si>
    <t>Running</t>
  </si>
  <si>
    <t>Walk/Jog</t>
  </si>
  <si>
    <t>Indoor workout</t>
  </si>
  <si>
    <t>High-intensity indoor (85)</t>
  </si>
  <si>
    <t>Cycling</t>
  </si>
  <si>
    <t>High-intensity indoor (191)</t>
  </si>
  <si>
    <t>Month</t>
  </si>
  <si>
    <t>Baseline (ms)</t>
  </si>
  <si>
    <t>Monthly Min (ms)</t>
  </si>
  <si>
    <t>Monthly Max (ms)</t>
  </si>
  <si>
    <t>Last Reading (ms)</t>
  </si>
  <si>
    <t>Last Reading Date</t>
  </si>
  <si>
    <t>Note</t>
  </si>
  <si>
    <t>2026-05</t>
  </si>
  <si>
    <t>Readings start around 14 May</t>
  </si>
  <si>
    <t>2026-06</t>
  </si>
  <si>
    <t>Gap of about 2 days around 25 Jun</t>
  </si>
  <si>
    <t>2026-07</t>
  </si>
  <si>
    <t>2026-08</t>
  </si>
  <si>
    <t>2026-09</t>
  </si>
  <si>
    <t>2026-10</t>
  </si>
  <si>
    <t>Partial month (1-16 Oct)</t>
  </si>
  <si>
    <t>Source: Zepp app, Heart Rate Variability &gt; Month view (overnight HRV). Entered by hand from screenshots; daily values aren't available in the export.</t>
  </si>
  <si>
    <t>Metric</t>
  </si>
  <si>
    <t>P1: 12 May – 20 Jul 2026</t>
  </si>
  <si>
    <t>P2: 21 Jul – 28 Sep 2026</t>
  </si>
  <si>
    <t>Change (P1 → P2)</t>
  </si>
  <si>
    <t>% Change</t>
  </si>
  <si>
    <t>Days</t>
  </si>
  <si>
    <t>Avg steps / day</t>
  </si>
  <si>
    <t>Avg distance / day (km)</t>
  </si>
  <si>
    <t>Avg active minutes / day</t>
  </si>
  <si>
    <t>Avg activity calories / day</t>
  </si>
  <si>
    <t>Avg resting HR (bpm)</t>
  </si>
  <si>
    <t>Avg sleeping HR (bpm)</t>
  </si>
  <si>
    <t>Avg HRV baseline (ms)</t>
  </si>
  <si>
    <t>Avg daily HR (bpm)</t>
  </si>
  <si>
    <t>Avg vigorous minutes / day</t>
  </si>
  <si>
    <t>Workout days</t>
  </si>
  <si>
    <t>Workout sessions</t>
  </si>
  <si>
    <t>Avg workout minutes / day</t>
  </si>
  <si>
    <t>Avg workout calories / day</t>
  </si>
  <si>
    <t>Avg sleep (hours)</t>
  </si>
  <si>
    <t>Nights under 6 h</t>
  </si>
  <si>
    <t>Avg deep sleep (min)</t>
  </si>
  <si>
    <t>Avg REM sleep (min)</t>
  </si>
  <si>
    <t>Deep sleep % of total</t>
  </si>
  <si>
    <t>Runs logged</t>
  </si>
  <si>
    <t>Total run distance (km)</t>
  </si>
  <si>
    <t>Avg run pace (min/km)</t>
  </si>
  <si>
    <t>Avg est. energy burned / day (kcal)</t>
  </si>
  <si>
    <t>Lower is better for resting/sleeping HR and run pace (min/km). All values are formulas over the other tabs. See report/REPORT.md for significance tests.</t>
  </si>
  <si>
    <t>Avg Steps</t>
  </si>
  <si>
    <t>Avg Resting HR</t>
  </si>
  <si>
    <t>Avg Sleeping HR</t>
  </si>
  <si>
    <t>Avg Sleep (h)</t>
  </si>
  <si>
    <t>Workout Sessions</t>
  </si>
  <si>
    <t>Avg Workout kcal / day</t>
  </si>
  <si>
    <t>Vigorous Minutes</t>
  </si>
  <si>
    <t>Weeks with fewer than 4 days of data are left out so partial weeks don't distort the trend.</t>
  </si>
  <si>
    <t>Data sources &amp; assumptions</t>
  </si>
  <si>
    <t>Covers 2026-05-12 to 2026-09-28 (140 days), merged from every 'Health Data*' export folder. Periods: P1: 12 May – 20 Jul 2026; P2: 21 Jul – 28 Sep 2026. A date that appears in two exports belongs to the earlier one; duplicate rows are de-duplicated with the newer export winning.</t>
  </si>
  <si>
    <t>Timezone: all times are IST (UTC+5:30). HEARTRATE_AUTO, ACTIVITY_MINUTE, ACTIVITY_STAGE and SLEEP_MINUTE are already local; SPORT start times and SLEEP start/stop are UTC in the export and are converted. The offset was confirmed by aligning workouts with heart-rate spikes (79 of 129 sessions of 20+ minutes peak at exactly +5:30).</t>
  </si>
  <si>
    <t>Workouts are assigned to their IST calendar date.</t>
  </si>
  <si>
    <t>Resting HR = lowest HEARTRATE_AUTO reading of the day. Sleeping HR = average HR across that night's sleep from SLEEP_MINUTE. There is no dedicated resting-HR field.</t>
  </si>
  <si>
    <t>Vigorous minutes = minutes with HR ≥ 140 bpm (70% of an age-predicted max of 200 for age 20).</t>
  </si>
  <si>
    <t>HRV is not in the export. The HRV tab and the Daily Summary's HRV column use monthly figures read off the Zepp app (manual_data/hrv_monthly.csv); add a row there each month to keep it current. Respiratory rate is not recorded (the column is empty in every export).</t>
  </si>
  <si>
    <t>Active Minutes = total duration of ACTIVITY_STAGE movement segments for that date.</t>
  </si>
  <si>
    <t>Activity Calories (device daily figure) already includes workout movement, so it overlaps Workout Calories; don't add them together.</t>
  </si>
  <si>
    <t>Workout names are inferred from Zepp's numeric type codes by distance, pace and intensity; the export has no names.</t>
  </si>
  <si>
    <t>Run pace (min/km) = SPORT avgPace (seconds per metre) × 1000 / 60, blank for sessions under 500 m (GPS dropouts, e.g. 2026-06-25 run: 59 min for 58 m).</t>
  </si>
  <si>
    <t>Sleep fields come from SLEEP; Total Sleep = Deep + Light + REM. The sleep row's date is the wake-up date.</t>
  </si>
  <si>
    <t>Naps: every nap timestamp in the exports is a placeholder (2024-10-04), so only the count is shown.</t>
  </si>
  <si>
    <t>Est. Energy Burned = BMR 1591 kcal (Katch-McArdle at 65 kg, 13% body fat, user-provided) + non-workout step calories + workout calories, with device calories rescaled from the export's profile weight to 65 kg.</t>
  </si>
  <si>
    <t>Body weight readings on record: 2026-05-24: 63.0 kg; 2026-07-28: 65.0 kg. The 65 kg entry may be a profile update rather than a scale reading.</t>
  </si>
  <si>
    <t>Rebuild: python3 scripts/build_summary.py, then open the file in Excel once so formulas get calculated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</si>
</sst>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yyyy\-mm\-dd"/>
    <numFmt numFmtId="166" formatCode="0.0"/>
    <numFmt numFmtId="167" formatCode="yyyy\-mm\-dd\ hh:mm"/>
    <numFmt numFmtId="168" formatCode="\+#,##0.0;\-#,##0.0;0"/>
    <numFmt numFmtId="169" formatCode="\+0.0%;\-0.0%;0.0%"/>
    <numFmt numFmtId="170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999999"/>
      <name val="Arial"/>
    </font>
    <font>
      <b/>
      <sz val="13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1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3" fillId="0" borderId="1" xfId="0" applyFont="1" applyBorder="1"/>
    <xf numFmtId="167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Avg daily steps by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'Weekly Trends'!$C$1</c:f>
              <c:strCache>
                <c:ptCount val="1"/>
                <c:pt idx="0">
                  <c:v>Avg Steps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'Weekly Trends'!$A$2:$A$21</c:f>
              <c:numCache>
                <c:formatCode>yyyy\-mm\-dd</c:formatCode>
                <c:ptCount val="20"/>
                <c:pt idx="0">
                  <c:v>46153</c:v>
                </c:pt>
                <c:pt idx="1">
                  <c:v>46160</c:v>
                </c:pt>
                <c:pt idx="2">
                  <c:v>46167</c:v>
                </c:pt>
                <c:pt idx="3">
                  <c:v>46174</c:v>
                </c:pt>
                <c:pt idx="4">
                  <c:v>46181</c:v>
                </c:pt>
                <c:pt idx="5">
                  <c:v>46188</c:v>
                </c:pt>
                <c:pt idx="6">
                  <c:v>46195</c:v>
                </c:pt>
                <c:pt idx="7">
                  <c:v>46202</c:v>
                </c:pt>
                <c:pt idx="8">
                  <c:v>46209</c:v>
                </c:pt>
                <c:pt idx="9">
                  <c:v>46216</c:v>
                </c:pt>
                <c:pt idx="10">
                  <c:v>46223</c:v>
                </c:pt>
                <c:pt idx="11">
                  <c:v>46230</c:v>
                </c:pt>
                <c:pt idx="12">
                  <c:v>46237</c:v>
                </c:pt>
                <c:pt idx="13">
                  <c:v>46244</c:v>
                </c:pt>
                <c:pt idx="14">
                  <c:v>46251</c:v>
                </c:pt>
                <c:pt idx="15">
                  <c:v>46258</c:v>
                </c:pt>
                <c:pt idx="16">
                  <c:v>46265</c:v>
                </c:pt>
                <c:pt idx="17">
                  <c:v>46272</c:v>
                </c:pt>
                <c:pt idx="18">
                  <c:v>46279</c:v>
                </c:pt>
                <c:pt idx="19">
                  <c:v>46286</c:v>
                </c:pt>
              </c:numCache>
            </c:numRef>
          </c:cat>
          <c:val>
            <c:numRef>
              <c:f>'Weekly Trends'!$C$2:$C$21</c:f>
              <c:numCache>
                <c:formatCode>#,##0</c:formatCode>
                <c:ptCount val="20"/>
                <c:pt idx="0">
                  <c:v>6153.833333333333</c:v>
                </c:pt>
                <c:pt idx="1">
                  <c:v>8889.1428571428569</c:v>
                </c:pt>
                <c:pt idx="2">
                  <c:v>10005.142857142857</c:v>
                </c:pt>
                <c:pt idx="3">
                  <c:v>7222.7142857142853</c:v>
                </c:pt>
                <c:pt idx="4">
                  <c:v>8492.5714285714294</c:v>
                </c:pt>
                <c:pt idx="5">
                  <c:v>8768.7142857142862</c:v>
                </c:pt>
                <c:pt idx="6">
                  <c:v>8758</c:v>
                </c:pt>
                <c:pt idx="7">
                  <c:v>8959.7142857142862</c:v>
                </c:pt>
                <c:pt idx="8">
                  <c:v>5449</c:v>
                </c:pt>
                <c:pt idx="9">
                  <c:v>6344.1428571428569</c:v>
                </c:pt>
                <c:pt idx="10">
                  <c:v>7482.5714285714284</c:v>
                </c:pt>
                <c:pt idx="11">
                  <c:v>9118.5714285714294</c:v>
                </c:pt>
                <c:pt idx="12">
                  <c:v>6950.4285714285716</c:v>
                </c:pt>
                <c:pt idx="13">
                  <c:v>6530.2857142857147</c:v>
                </c:pt>
                <c:pt idx="14">
                  <c:v>9746.8571428571431</c:v>
                </c:pt>
                <c:pt idx="15">
                  <c:v>6351.5714285714284</c:v>
                </c:pt>
                <c:pt idx="16">
                  <c:v>6736.8571428571431</c:v>
                </c:pt>
                <c:pt idx="17">
                  <c:v>9473</c:v>
                </c:pt>
                <c:pt idx="18">
                  <c:v>5793</c:v>
                </c:pt>
                <c:pt idx="19">
                  <c:v>9579.8571428571431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B9-5C49-8072-919F6C89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 starting</a:t>
                </a:r>
              </a:p>
            </c:rich>
          </c:tx>
          <c:overlay val="1"/>
        </c:title>
        <c:numFmt formatCode="dd\ 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Steps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Avg resting HR by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'Weekly Trends'!$D$1</c:f>
              <c:strCache>
                <c:ptCount val="1"/>
                <c:pt idx="0">
                  <c:v>Avg Resting HR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'Weekly Trends'!$A$2:$A$21</c:f>
              <c:numCache>
                <c:formatCode>yyyy\-mm\-dd</c:formatCode>
                <c:ptCount val="20"/>
                <c:pt idx="0">
                  <c:v>46153</c:v>
                </c:pt>
                <c:pt idx="1">
                  <c:v>46160</c:v>
                </c:pt>
                <c:pt idx="2">
                  <c:v>46167</c:v>
                </c:pt>
                <c:pt idx="3">
                  <c:v>46174</c:v>
                </c:pt>
                <c:pt idx="4">
                  <c:v>46181</c:v>
                </c:pt>
                <c:pt idx="5">
                  <c:v>46188</c:v>
                </c:pt>
                <c:pt idx="6">
                  <c:v>46195</c:v>
                </c:pt>
                <c:pt idx="7">
                  <c:v>46202</c:v>
                </c:pt>
                <c:pt idx="8">
                  <c:v>46209</c:v>
                </c:pt>
                <c:pt idx="9">
                  <c:v>46216</c:v>
                </c:pt>
                <c:pt idx="10">
                  <c:v>46223</c:v>
                </c:pt>
                <c:pt idx="11">
                  <c:v>46230</c:v>
                </c:pt>
                <c:pt idx="12">
                  <c:v>46237</c:v>
                </c:pt>
                <c:pt idx="13">
                  <c:v>46244</c:v>
                </c:pt>
                <c:pt idx="14">
                  <c:v>46251</c:v>
                </c:pt>
                <c:pt idx="15">
                  <c:v>46258</c:v>
                </c:pt>
                <c:pt idx="16">
                  <c:v>46265</c:v>
                </c:pt>
                <c:pt idx="17">
                  <c:v>46272</c:v>
                </c:pt>
                <c:pt idx="18">
                  <c:v>46279</c:v>
                </c:pt>
                <c:pt idx="19">
                  <c:v>46286</c:v>
                </c:pt>
              </c:numCache>
            </c:numRef>
          </c:cat>
          <c:val>
            <c:numRef>
              <c:f>'Weekly Trends'!$D$2:$D$21</c:f>
              <c:numCache>
                <c:formatCode>0.0</c:formatCode>
                <c:ptCount val="20"/>
                <c:pt idx="0">
                  <c:v>41.333333333333336</c:v>
                </c:pt>
                <c:pt idx="1">
                  <c:v>43.285714285714285</c:v>
                </c:pt>
                <c:pt idx="2">
                  <c:v>42.285714285714285</c:v>
                </c:pt>
                <c:pt idx="3">
                  <c:v>41.285714285714285</c:v>
                </c:pt>
                <c:pt idx="4">
                  <c:v>41.428571428571431</c:v>
                </c:pt>
                <c:pt idx="5">
                  <c:v>42.714285714285715</c:v>
                </c:pt>
                <c:pt idx="6">
                  <c:v>43.714285714285715</c:v>
                </c:pt>
                <c:pt idx="7">
                  <c:v>41.714285714285715</c:v>
                </c:pt>
                <c:pt idx="8">
                  <c:v>41.714285714285715</c:v>
                </c:pt>
                <c:pt idx="9">
                  <c:v>42.142857142857146</c:v>
                </c:pt>
                <c:pt idx="10">
                  <c:v>41.142857142857146</c:v>
                </c:pt>
                <c:pt idx="11">
                  <c:v>41.714285714285715</c:v>
                </c:pt>
                <c:pt idx="12">
                  <c:v>40.571428571428569</c:v>
                </c:pt>
                <c:pt idx="13">
                  <c:v>42.857142857142854</c:v>
                </c:pt>
                <c:pt idx="14">
                  <c:v>43.857142857142854</c:v>
                </c:pt>
                <c:pt idx="15">
                  <c:v>41</c:v>
                </c:pt>
                <c:pt idx="16">
                  <c:v>40.857142857142854</c:v>
                </c:pt>
                <c:pt idx="17">
                  <c:v>41.285714285714285</c:v>
                </c:pt>
                <c:pt idx="18">
                  <c:v>40.142857142857146</c:v>
                </c:pt>
                <c:pt idx="19">
                  <c:v>40.857142857142854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C5-4E43-B31A-94241531E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 starting</a:t>
                </a:r>
              </a:p>
            </c:rich>
          </c:tx>
          <c:overlay val="1"/>
        </c:title>
        <c:numFmt formatCode="dd\ 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bpm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Avg sleep by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'Weekly Trends'!$F$1</c:f>
              <c:strCache>
                <c:ptCount val="1"/>
                <c:pt idx="0">
                  <c:v>Avg Sleep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'Weekly Trends'!$A$2:$A$21</c:f>
              <c:numCache>
                <c:formatCode>yyyy\-mm\-dd</c:formatCode>
                <c:ptCount val="20"/>
                <c:pt idx="0">
                  <c:v>46153</c:v>
                </c:pt>
                <c:pt idx="1">
                  <c:v>46160</c:v>
                </c:pt>
                <c:pt idx="2">
                  <c:v>46167</c:v>
                </c:pt>
                <c:pt idx="3">
                  <c:v>46174</c:v>
                </c:pt>
                <c:pt idx="4">
                  <c:v>46181</c:v>
                </c:pt>
                <c:pt idx="5">
                  <c:v>46188</c:v>
                </c:pt>
                <c:pt idx="6">
                  <c:v>46195</c:v>
                </c:pt>
                <c:pt idx="7">
                  <c:v>46202</c:v>
                </c:pt>
                <c:pt idx="8">
                  <c:v>46209</c:v>
                </c:pt>
                <c:pt idx="9">
                  <c:v>46216</c:v>
                </c:pt>
                <c:pt idx="10">
                  <c:v>46223</c:v>
                </c:pt>
                <c:pt idx="11">
                  <c:v>46230</c:v>
                </c:pt>
                <c:pt idx="12">
                  <c:v>46237</c:v>
                </c:pt>
                <c:pt idx="13">
                  <c:v>46244</c:v>
                </c:pt>
                <c:pt idx="14">
                  <c:v>46251</c:v>
                </c:pt>
                <c:pt idx="15">
                  <c:v>46258</c:v>
                </c:pt>
                <c:pt idx="16">
                  <c:v>46265</c:v>
                </c:pt>
                <c:pt idx="17">
                  <c:v>46272</c:v>
                </c:pt>
                <c:pt idx="18">
                  <c:v>46279</c:v>
                </c:pt>
                <c:pt idx="19">
                  <c:v>46286</c:v>
                </c:pt>
              </c:numCache>
            </c:numRef>
          </c:cat>
          <c:val>
            <c:numRef>
              <c:f>'Weekly Trends'!$F$2:$F$21</c:f>
              <c:numCache>
                <c:formatCode>0.00</c:formatCode>
                <c:ptCount val="20"/>
                <c:pt idx="0">
                  <c:v>7.8694444444444445</c:v>
                </c:pt>
                <c:pt idx="1">
                  <c:v>7.2976190476190474</c:v>
                </c:pt>
                <c:pt idx="2">
                  <c:v>5.6642857142857137</c:v>
                </c:pt>
                <c:pt idx="3">
                  <c:v>6.9642857142857135</c:v>
                </c:pt>
                <c:pt idx="4">
                  <c:v>6.0738095238095244</c:v>
                </c:pt>
                <c:pt idx="5">
                  <c:v>5.7809523809523808</c:v>
                </c:pt>
                <c:pt idx="6">
                  <c:v>5.7976190476190474</c:v>
                </c:pt>
                <c:pt idx="7">
                  <c:v>5.961904761904762</c:v>
                </c:pt>
                <c:pt idx="8">
                  <c:v>7.4285714285714288</c:v>
                </c:pt>
                <c:pt idx="9">
                  <c:v>7.3428571428571425</c:v>
                </c:pt>
                <c:pt idx="10">
                  <c:v>6.2928571428571427</c:v>
                </c:pt>
                <c:pt idx="11">
                  <c:v>4.871428571428571</c:v>
                </c:pt>
                <c:pt idx="12">
                  <c:v>5.9357142857142859</c:v>
                </c:pt>
                <c:pt idx="13">
                  <c:v>6.4190476190476193</c:v>
                </c:pt>
                <c:pt idx="14">
                  <c:v>6.4738095238095239</c:v>
                </c:pt>
                <c:pt idx="15">
                  <c:v>6.6738095238095241</c:v>
                </c:pt>
                <c:pt idx="16">
                  <c:v>5.5357142857142865</c:v>
                </c:pt>
                <c:pt idx="17">
                  <c:v>4.8809523809523805</c:v>
                </c:pt>
                <c:pt idx="18">
                  <c:v>7.3571428571428577</c:v>
                </c:pt>
                <c:pt idx="19">
                  <c:v>5.7523809523809524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5-5646-B685-A3A600A30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 starting</a:t>
                </a:r>
              </a:p>
            </c:rich>
          </c:tx>
          <c:overlay val="1"/>
        </c:title>
        <c:numFmt formatCode="dd\ 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Hours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61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17</xdr:row>
      <xdr:rowOff>0</xdr:rowOff>
    </xdr:from>
    <xdr:ext cx="61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33</xdr:row>
      <xdr:rowOff>0</xdr:rowOff>
    </xdr:from>
    <xdr:ext cx="61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2" customWidth="1"/>
    <col min="4" max="4" width="9" customWidth="1"/>
    <col min="5" max="6" width="10" customWidth="1"/>
    <col min="7" max="7" width="12" customWidth="1"/>
    <col min="8" max="12" width="10" customWidth="1"/>
    <col min="13" max="13" width="12" customWidth="1"/>
    <col min="14" max="14" width="10" customWidth="1"/>
    <col min="15" max="15" width="44" customWidth="1"/>
    <col min="16" max="17" width="10" customWidth="1"/>
    <col min="18" max="18" width="12" customWidth="1"/>
    <col min="19" max="23" width="10" customWidth="1"/>
    <col min="24" max="25" width="17" customWidth="1"/>
    <col min="26" max="26" width="8" customWidth="1"/>
    <col min="27" max="27" width="12" customWidth="1"/>
  </cols>
  <sheetData>
    <row r="1" spans="1:2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46154</v>
      </c>
      <c r="B2" s="3" t="s">
        <v>27</v>
      </c>
      <c r="C2" s="4">
        <f t="shared" ref="C2:C33" si="0">A2-WEEKDAY(A2,3)</f>
        <v>46153</v>
      </c>
      <c r="D2" s="5">
        <v>2567</v>
      </c>
      <c r="E2" s="6">
        <v>1.669</v>
      </c>
      <c r="F2" s="6">
        <v>1.4370000000000001</v>
      </c>
      <c r="G2" s="5">
        <v>10</v>
      </c>
      <c r="H2" s="7">
        <v>61</v>
      </c>
      <c r="I2" s="8">
        <v>43</v>
      </c>
      <c r="J2" s="9">
        <v>60.357638888888893</v>
      </c>
      <c r="K2" s="8">
        <v>115</v>
      </c>
      <c r="L2" s="9"/>
      <c r="M2" s="8">
        <v>0</v>
      </c>
      <c r="N2" s="8">
        <v>91</v>
      </c>
      <c r="O2" s="10"/>
      <c r="P2" s="11">
        <v>0</v>
      </c>
      <c r="Q2" s="11">
        <v>0</v>
      </c>
      <c r="R2" s="12">
        <v>0</v>
      </c>
      <c r="S2" s="13">
        <f t="shared" ref="S2:S33" si="1">IF(COUNT(T2:V2)=3,T2+U2+V2,"")</f>
        <v>543</v>
      </c>
      <c r="T2" s="13">
        <v>99</v>
      </c>
      <c r="U2" s="13">
        <v>314</v>
      </c>
      <c r="V2" s="13">
        <v>130</v>
      </c>
      <c r="W2" s="13">
        <v>3</v>
      </c>
      <c r="X2" s="14">
        <v>46154.103472222218</v>
      </c>
      <c r="Y2" s="14">
        <v>46154.482638888891</v>
      </c>
      <c r="Z2" s="13">
        <v>1</v>
      </c>
      <c r="AA2" s="15">
        <v>1699.619634748841</v>
      </c>
    </row>
    <row r="3" spans="1:27" x14ac:dyDescent="0.2">
      <c r="A3" s="2">
        <v>46155</v>
      </c>
      <c r="B3" s="3" t="s">
        <v>27</v>
      </c>
      <c r="C3" s="4">
        <f t="shared" si="0"/>
        <v>46153</v>
      </c>
      <c r="D3" s="5">
        <v>10821</v>
      </c>
      <c r="E3" s="6">
        <v>7.6310000000000002</v>
      </c>
      <c r="F3" s="6">
        <v>5.734</v>
      </c>
      <c r="G3" s="5">
        <v>1448</v>
      </c>
      <c r="H3" s="7">
        <v>204</v>
      </c>
      <c r="I3" s="8">
        <v>40</v>
      </c>
      <c r="J3" s="9">
        <v>71.352941176470594</v>
      </c>
      <c r="K3" s="8">
        <v>178</v>
      </c>
      <c r="L3" s="9">
        <v>44.317129629629633</v>
      </c>
      <c r="M3" s="8">
        <v>102</v>
      </c>
      <c r="N3" s="8">
        <v>91</v>
      </c>
      <c r="O3" s="10" t="s">
        <v>28</v>
      </c>
      <c r="P3" s="11">
        <v>2</v>
      </c>
      <c r="Q3" s="11">
        <v>121.35</v>
      </c>
      <c r="R3" s="12">
        <v>1261</v>
      </c>
      <c r="S3" s="13">
        <f t="shared" si="1"/>
        <v>427</v>
      </c>
      <c r="T3" s="13">
        <v>65</v>
      </c>
      <c r="U3" s="13">
        <v>285</v>
      </c>
      <c r="V3" s="13">
        <v>77</v>
      </c>
      <c r="W3" s="13">
        <v>4</v>
      </c>
      <c r="X3" s="14">
        <v>46155.142361111109</v>
      </c>
      <c r="Y3" s="14">
        <v>46155.441666666673</v>
      </c>
      <c r="Z3" s="13">
        <v>1</v>
      </c>
      <c r="AA3" s="15">
        <v>3348.366435403469</v>
      </c>
    </row>
    <row r="4" spans="1:27" x14ac:dyDescent="0.2">
      <c r="A4" s="2">
        <v>46156</v>
      </c>
      <c r="B4" s="3" t="s">
        <v>27</v>
      </c>
      <c r="C4" s="4">
        <f t="shared" si="0"/>
        <v>46153</v>
      </c>
      <c r="D4" s="5">
        <v>2862</v>
      </c>
      <c r="E4" s="6">
        <v>1.8640000000000001</v>
      </c>
      <c r="F4" s="6">
        <v>1.639</v>
      </c>
      <c r="G4" s="5">
        <v>369</v>
      </c>
      <c r="H4" s="7">
        <v>86</v>
      </c>
      <c r="I4" s="8">
        <v>40</v>
      </c>
      <c r="J4" s="9">
        <v>61.484891075193246</v>
      </c>
      <c r="K4" s="8">
        <v>126</v>
      </c>
      <c r="L4" s="9">
        <v>45.670533642691417</v>
      </c>
      <c r="M4" s="8">
        <v>0</v>
      </c>
      <c r="N4" s="8">
        <v>91</v>
      </c>
      <c r="O4" s="10" t="s">
        <v>29</v>
      </c>
      <c r="P4" s="11">
        <v>1</v>
      </c>
      <c r="Q4" s="11">
        <v>55.366666666666667</v>
      </c>
      <c r="R4" s="12">
        <v>257</v>
      </c>
      <c r="S4" s="13">
        <f t="shared" si="1"/>
        <v>514</v>
      </c>
      <c r="T4" s="13">
        <v>95</v>
      </c>
      <c r="U4" s="13">
        <v>289</v>
      </c>
      <c r="V4" s="13">
        <v>130</v>
      </c>
      <c r="W4" s="13">
        <v>8</v>
      </c>
      <c r="X4" s="14">
        <v>46156.12777777778</v>
      </c>
      <c r="Y4" s="14">
        <v>46156.490277777782</v>
      </c>
      <c r="Z4" s="13">
        <v>0</v>
      </c>
      <c r="AA4" s="15">
        <v>1977.205786898576</v>
      </c>
    </row>
    <row r="5" spans="1:27" x14ac:dyDescent="0.2">
      <c r="A5" s="2">
        <v>46157</v>
      </c>
      <c r="B5" s="3" t="s">
        <v>27</v>
      </c>
      <c r="C5" s="4">
        <f t="shared" si="0"/>
        <v>46153</v>
      </c>
      <c r="D5" s="5">
        <v>3634</v>
      </c>
      <c r="E5" s="6">
        <v>2.3620000000000001</v>
      </c>
      <c r="F5" s="6">
        <v>2.0870000000000002</v>
      </c>
      <c r="G5" s="5">
        <v>275</v>
      </c>
      <c r="H5" s="7">
        <v>153</v>
      </c>
      <c r="I5" s="8">
        <v>40</v>
      </c>
      <c r="J5" s="9">
        <v>57.2491103202847</v>
      </c>
      <c r="K5" s="8">
        <v>109</v>
      </c>
      <c r="L5" s="9">
        <v>42.983490566037737</v>
      </c>
      <c r="M5" s="8">
        <v>0</v>
      </c>
      <c r="N5" s="8">
        <v>91</v>
      </c>
      <c r="O5" s="10" t="s">
        <v>30</v>
      </c>
      <c r="P5" s="11">
        <v>1</v>
      </c>
      <c r="Q5" s="11">
        <v>51.616666666666667</v>
      </c>
      <c r="R5" s="12">
        <v>114</v>
      </c>
      <c r="S5" s="13">
        <f t="shared" si="1"/>
        <v>489</v>
      </c>
      <c r="T5" s="13">
        <v>60</v>
      </c>
      <c r="U5" s="13">
        <v>291</v>
      </c>
      <c r="V5" s="13">
        <v>138</v>
      </c>
      <c r="W5" s="13">
        <v>5</v>
      </c>
      <c r="X5" s="14">
        <v>46157.177777777782</v>
      </c>
      <c r="Y5" s="14">
        <v>46157.520833333343</v>
      </c>
      <c r="Z5" s="13">
        <v>3</v>
      </c>
      <c r="AA5" s="15">
        <v>1862.1880358065389</v>
      </c>
    </row>
    <row r="6" spans="1:27" x14ac:dyDescent="0.2">
      <c r="A6" s="2">
        <v>46158</v>
      </c>
      <c r="B6" s="3" t="s">
        <v>27</v>
      </c>
      <c r="C6" s="4">
        <f t="shared" si="0"/>
        <v>46153</v>
      </c>
      <c r="D6" s="5">
        <v>4525</v>
      </c>
      <c r="E6" s="6">
        <v>3.0779999999999998</v>
      </c>
      <c r="F6" s="6">
        <v>2.4489999999999998</v>
      </c>
      <c r="G6" s="5">
        <v>180</v>
      </c>
      <c r="H6" s="7">
        <v>46</v>
      </c>
      <c r="I6" s="8">
        <v>40</v>
      </c>
      <c r="J6" s="9">
        <v>58.061648745519712</v>
      </c>
      <c r="K6" s="8">
        <v>116</v>
      </c>
      <c r="L6" s="9">
        <v>44.812217194570138</v>
      </c>
      <c r="M6" s="8">
        <v>0</v>
      </c>
      <c r="N6" s="8">
        <v>91</v>
      </c>
      <c r="O6" s="10"/>
      <c r="P6" s="11">
        <v>0</v>
      </c>
      <c r="Q6" s="11">
        <v>0</v>
      </c>
      <c r="R6" s="12">
        <v>0</v>
      </c>
      <c r="S6" s="13">
        <f t="shared" si="1"/>
        <v>442</v>
      </c>
      <c r="T6" s="13">
        <v>60</v>
      </c>
      <c r="U6" s="13">
        <v>287</v>
      </c>
      <c r="V6" s="13">
        <v>95</v>
      </c>
      <c r="W6" s="13">
        <v>13</v>
      </c>
      <c r="X6" s="14">
        <v>46158.168055555558</v>
      </c>
      <c r="Y6" s="14">
        <v>46158.484027777777</v>
      </c>
      <c r="Z6" s="13">
        <v>0</v>
      </c>
      <c r="AA6" s="15">
        <v>1782.1040152857449</v>
      </c>
    </row>
    <row r="7" spans="1:27" x14ac:dyDescent="0.2">
      <c r="A7" s="2">
        <v>46159</v>
      </c>
      <c r="B7" s="3" t="s">
        <v>27</v>
      </c>
      <c r="C7" s="4">
        <f t="shared" si="0"/>
        <v>46153</v>
      </c>
      <c r="D7" s="5">
        <v>12514</v>
      </c>
      <c r="E7" s="6">
        <v>8.9949999999999992</v>
      </c>
      <c r="F7" s="6">
        <v>6.8959999999999999</v>
      </c>
      <c r="G7" s="5">
        <v>398</v>
      </c>
      <c r="H7" s="7">
        <v>254</v>
      </c>
      <c r="I7" s="8">
        <v>45</v>
      </c>
      <c r="J7" s="9">
        <v>71.195652173913047</v>
      </c>
      <c r="K7" s="8">
        <v>160</v>
      </c>
      <c r="L7" s="9">
        <v>59.968379446640313</v>
      </c>
      <c r="M7" s="8">
        <v>22</v>
      </c>
      <c r="N7" s="8">
        <v>91</v>
      </c>
      <c r="O7" s="10"/>
      <c r="P7" s="11">
        <v>0</v>
      </c>
      <c r="Q7" s="11">
        <v>0</v>
      </c>
      <c r="R7" s="12">
        <v>0</v>
      </c>
      <c r="S7" s="13">
        <f t="shared" si="1"/>
        <v>418</v>
      </c>
      <c r="T7" s="13">
        <v>86</v>
      </c>
      <c r="U7" s="13">
        <v>196</v>
      </c>
      <c r="V7" s="13">
        <v>136</v>
      </c>
      <c r="W7" s="13">
        <v>2</v>
      </c>
      <c r="X7" s="14">
        <v>46159.308333333327</v>
      </c>
      <c r="Y7" s="14">
        <v>46159.6</v>
      </c>
      <c r="Z7" s="13">
        <v>0</v>
      </c>
      <c r="AA7" s="15">
        <v>2118.6554535438249</v>
      </c>
    </row>
    <row r="8" spans="1:27" x14ac:dyDescent="0.2">
      <c r="A8" s="2">
        <v>46160</v>
      </c>
      <c r="B8" s="3" t="s">
        <v>27</v>
      </c>
      <c r="C8" s="4">
        <f t="shared" si="0"/>
        <v>46160</v>
      </c>
      <c r="D8" s="5">
        <v>11694</v>
      </c>
      <c r="E8" s="6">
        <v>9.1310000000000002</v>
      </c>
      <c r="F8" s="6">
        <v>7.0069999999999997</v>
      </c>
      <c r="G8" s="5">
        <v>859</v>
      </c>
      <c r="H8" s="7">
        <v>163</v>
      </c>
      <c r="I8" s="8">
        <v>44</v>
      </c>
      <c r="J8" s="9">
        <v>68.093114241001558</v>
      </c>
      <c r="K8" s="8">
        <v>189</v>
      </c>
      <c r="L8" s="9">
        <v>50.452755905511808</v>
      </c>
      <c r="M8" s="8">
        <v>33</v>
      </c>
      <c r="N8" s="8">
        <v>91</v>
      </c>
      <c r="O8" s="10" t="s">
        <v>31</v>
      </c>
      <c r="P8" s="11">
        <v>2</v>
      </c>
      <c r="Q8" s="11">
        <v>76.066666666666663</v>
      </c>
      <c r="R8" s="12">
        <v>633.26315307617188</v>
      </c>
      <c r="S8" s="13">
        <f t="shared" si="1"/>
        <v>493</v>
      </c>
      <c r="T8" s="13">
        <v>81</v>
      </c>
      <c r="U8" s="13">
        <v>299</v>
      </c>
      <c r="V8" s="13">
        <v>113</v>
      </c>
      <c r="W8" s="13">
        <v>13</v>
      </c>
      <c r="X8" s="14">
        <v>46160.132638888892</v>
      </c>
      <c r="Y8" s="14">
        <v>46160.484027777777</v>
      </c>
      <c r="Z8" s="13">
        <v>0</v>
      </c>
      <c r="AA8" s="15">
        <v>2523.9953295369519</v>
      </c>
    </row>
    <row r="9" spans="1:27" x14ac:dyDescent="0.2">
      <c r="A9" s="2">
        <v>46161</v>
      </c>
      <c r="B9" s="3" t="s">
        <v>27</v>
      </c>
      <c r="C9" s="4">
        <f t="shared" si="0"/>
        <v>46160</v>
      </c>
      <c r="D9" s="5">
        <v>6979</v>
      </c>
      <c r="E9" s="6">
        <v>5.01</v>
      </c>
      <c r="F9" s="6">
        <v>3.911</v>
      </c>
      <c r="G9" s="5">
        <v>472</v>
      </c>
      <c r="H9" s="7">
        <v>107</v>
      </c>
      <c r="I9" s="8">
        <v>40</v>
      </c>
      <c r="J9" s="9">
        <v>59.022916666666667</v>
      </c>
      <c r="K9" s="8">
        <v>109</v>
      </c>
      <c r="L9" s="9">
        <v>45.879699248120303</v>
      </c>
      <c r="M9" s="8">
        <v>0</v>
      </c>
      <c r="N9" s="8">
        <v>91</v>
      </c>
      <c r="O9" s="10" t="s">
        <v>32</v>
      </c>
      <c r="P9" s="11">
        <v>2</v>
      </c>
      <c r="Q9" s="11">
        <v>103.5</v>
      </c>
      <c r="R9" s="12">
        <v>353.92671203613281</v>
      </c>
      <c r="S9" s="13">
        <f t="shared" si="1"/>
        <v>520</v>
      </c>
      <c r="T9" s="13">
        <v>63</v>
      </c>
      <c r="U9" s="13">
        <v>336</v>
      </c>
      <c r="V9" s="13">
        <v>121</v>
      </c>
      <c r="W9" s="13">
        <v>8</v>
      </c>
      <c r="X9" s="14">
        <v>46161.206944444442</v>
      </c>
      <c r="Y9" s="14">
        <v>46161.573611111111</v>
      </c>
      <c r="Z9" s="13">
        <v>0</v>
      </c>
      <c r="AA9" s="15">
        <v>2077.8695247946189</v>
      </c>
    </row>
    <row r="10" spans="1:27" x14ac:dyDescent="0.2">
      <c r="A10" s="2">
        <v>46162</v>
      </c>
      <c r="B10" s="3" t="s">
        <v>27</v>
      </c>
      <c r="C10" s="4">
        <f t="shared" si="0"/>
        <v>46160</v>
      </c>
      <c r="D10" s="5">
        <v>1948</v>
      </c>
      <c r="E10" s="6">
        <v>1.268</v>
      </c>
      <c r="F10" s="6">
        <v>1.0669999999999999</v>
      </c>
      <c r="G10" s="5">
        <v>537</v>
      </c>
      <c r="H10" s="7">
        <v>43</v>
      </c>
      <c r="I10" s="8">
        <v>40</v>
      </c>
      <c r="J10" s="9">
        <v>61.653737658674189</v>
      </c>
      <c r="K10" s="8">
        <v>133</v>
      </c>
      <c r="L10" s="9">
        <v>44.024390243902438</v>
      </c>
      <c r="M10" s="8">
        <v>0</v>
      </c>
      <c r="N10" s="8">
        <v>91</v>
      </c>
      <c r="O10" s="10" t="s">
        <v>33</v>
      </c>
      <c r="P10" s="11">
        <v>1</v>
      </c>
      <c r="Q10" s="11">
        <v>50.883333333333333</v>
      </c>
      <c r="R10" s="12">
        <v>348</v>
      </c>
      <c r="S10" s="13">
        <f t="shared" si="1"/>
        <v>495</v>
      </c>
      <c r="T10" s="13">
        <v>51</v>
      </c>
      <c r="U10" s="13">
        <v>294</v>
      </c>
      <c r="V10" s="13">
        <v>150</v>
      </c>
      <c r="W10" s="13">
        <v>11</v>
      </c>
      <c r="X10" s="14">
        <v>46162.168055555558</v>
      </c>
      <c r="Y10" s="14">
        <v>46162.519444444442</v>
      </c>
      <c r="Z10" s="13">
        <v>0</v>
      </c>
      <c r="AA10" s="15">
        <v>2032.590731042455</v>
      </c>
    </row>
    <row r="11" spans="1:27" x14ac:dyDescent="0.2">
      <c r="A11" s="2">
        <v>46163</v>
      </c>
      <c r="B11" s="3" t="s">
        <v>27</v>
      </c>
      <c r="C11" s="4">
        <f t="shared" si="0"/>
        <v>46160</v>
      </c>
      <c r="D11" s="5">
        <v>12019</v>
      </c>
      <c r="E11" s="6">
        <v>9.2469999999999999</v>
      </c>
      <c r="F11" s="6">
        <v>7.1790000000000003</v>
      </c>
      <c r="G11" s="5">
        <v>892</v>
      </c>
      <c r="H11" s="7">
        <v>158</v>
      </c>
      <c r="I11" s="8">
        <v>42</v>
      </c>
      <c r="J11" s="9">
        <v>72.715950473415873</v>
      </c>
      <c r="K11" s="8">
        <v>187</v>
      </c>
      <c r="L11" s="9">
        <v>49.413978494623663</v>
      </c>
      <c r="M11" s="8">
        <v>27</v>
      </c>
      <c r="N11" s="8">
        <v>91</v>
      </c>
      <c r="O11" s="10" t="s">
        <v>34</v>
      </c>
      <c r="P11" s="11">
        <v>2</v>
      </c>
      <c r="Q11" s="11">
        <v>79.13333333333334</v>
      </c>
      <c r="R11" s="12">
        <v>641.5653076171875</v>
      </c>
      <c r="S11" s="13">
        <f t="shared" si="1"/>
        <v>370</v>
      </c>
      <c r="T11" s="13">
        <v>95</v>
      </c>
      <c r="U11" s="13">
        <v>209</v>
      </c>
      <c r="V11" s="13">
        <v>66</v>
      </c>
      <c r="W11" s="13">
        <v>4</v>
      </c>
      <c r="X11" s="14">
        <v>46163.165972222218</v>
      </c>
      <c r="Y11" s="14">
        <v>46163.425694444442</v>
      </c>
      <c r="Z11" s="13">
        <v>5</v>
      </c>
      <c r="AA11" s="15">
        <v>2555.961509031124</v>
      </c>
    </row>
    <row r="12" spans="1:27" x14ac:dyDescent="0.2">
      <c r="A12" s="2">
        <v>46164</v>
      </c>
      <c r="B12" s="3" t="s">
        <v>27</v>
      </c>
      <c r="C12" s="4">
        <f t="shared" si="0"/>
        <v>46160</v>
      </c>
      <c r="D12" s="5">
        <v>2337</v>
      </c>
      <c r="E12" s="6">
        <v>1.5269999999999999</v>
      </c>
      <c r="F12" s="6">
        <v>1.3129999999999999</v>
      </c>
      <c r="G12" s="5">
        <v>263</v>
      </c>
      <c r="H12" s="7">
        <v>44</v>
      </c>
      <c r="I12" s="8">
        <v>44</v>
      </c>
      <c r="J12" s="9">
        <v>60.005076142131983</v>
      </c>
      <c r="K12" s="8">
        <v>122</v>
      </c>
      <c r="L12" s="9">
        <v>50.598173515981728</v>
      </c>
      <c r="M12" s="8">
        <v>0</v>
      </c>
      <c r="N12" s="8">
        <v>91</v>
      </c>
      <c r="O12" s="10" t="s">
        <v>35</v>
      </c>
      <c r="P12" s="11">
        <v>1</v>
      </c>
      <c r="Q12" s="11">
        <v>44.266666666666673</v>
      </c>
      <c r="R12" s="12">
        <v>174</v>
      </c>
      <c r="S12" s="13">
        <f t="shared" si="1"/>
        <v>471</v>
      </c>
      <c r="T12" s="13">
        <v>70</v>
      </c>
      <c r="U12" s="13">
        <v>299</v>
      </c>
      <c r="V12" s="13">
        <v>102</v>
      </c>
      <c r="W12" s="13">
        <v>5</v>
      </c>
      <c r="X12" s="14">
        <v>46164.273611111108</v>
      </c>
      <c r="Y12" s="14">
        <v>46164.604166666657</v>
      </c>
      <c r="Z12" s="13">
        <v>9</v>
      </c>
      <c r="AA12" s="15">
        <v>1869.454267805088</v>
      </c>
    </row>
    <row r="13" spans="1:27" x14ac:dyDescent="0.2">
      <c r="A13" s="2">
        <v>46165</v>
      </c>
      <c r="B13" s="3" t="s">
        <v>27</v>
      </c>
      <c r="C13" s="4">
        <f t="shared" si="0"/>
        <v>46160</v>
      </c>
      <c r="D13" s="5">
        <v>7524</v>
      </c>
      <c r="E13" s="6">
        <v>5.1639999999999997</v>
      </c>
      <c r="F13" s="6">
        <v>3.996</v>
      </c>
      <c r="G13" s="5">
        <v>1024</v>
      </c>
      <c r="H13" s="7">
        <v>162</v>
      </c>
      <c r="I13" s="8">
        <v>40</v>
      </c>
      <c r="J13" s="9">
        <v>69.906926406926402</v>
      </c>
      <c r="K13" s="8">
        <v>179</v>
      </c>
      <c r="L13" s="9">
        <v>45.424242424242422</v>
      </c>
      <c r="M13" s="8">
        <v>68</v>
      </c>
      <c r="N13" s="8">
        <v>91</v>
      </c>
      <c r="O13" s="10" t="s">
        <v>36</v>
      </c>
      <c r="P13" s="11">
        <v>1</v>
      </c>
      <c r="Q13" s="11">
        <v>71.45</v>
      </c>
      <c r="R13" s="12">
        <v>850</v>
      </c>
      <c r="S13" s="13">
        <f t="shared" si="1"/>
        <v>524</v>
      </c>
      <c r="T13" s="13">
        <v>89</v>
      </c>
      <c r="U13" s="13">
        <v>305</v>
      </c>
      <c r="V13" s="13">
        <v>130</v>
      </c>
      <c r="W13" s="13">
        <v>4</v>
      </c>
      <c r="X13" s="14">
        <v>46165.181250000001</v>
      </c>
      <c r="Y13" s="14">
        <v>46165.54791666667</v>
      </c>
      <c r="Z13" s="13">
        <v>0</v>
      </c>
      <c r="AA13" s="15">
        <v>2785.4265780360479</v>
      </c>
    </row>
    <row r="14" spans="1:27" x14ac:dyDescent="0.2">
      <c r="A14" s="2">
        <v>46166</v>
      </c>
      <c r="B14" s="3" t="s">
        <v>27</v>
      </c>
      <c r="C14" s="4">
        <f t="shared" si="0"/>
        <v>46160</v>
      </c>
      <c r="D14" s="5">
        <v>19723</v>
      </c>
      <c r="E14" s="6">
        <v>15.528</v>
      </c>
      <c r="F14" s="6">
        <v>11.545999999999999</v>
      </c>
      <c r="G14" s="5">
        <v>1692</v>
      </c>
      <c r="H14" s="7">
        <v>187</v>
      </c>
      <c r="I14" s="8">
        <v>53</v>
      </c>
      <c r="J14" s="9">
        <v>84.096704871060169</v>
      </c>
      <c r="K14" s="8">
        <v>180</v>
      </c>
      <c r="L14" s="9">
        <v>57.64</v>
      </c>
      <c r="M14" s="8">
        <v>101</v>
      </c>
      <c r="N14" s="8">
        <v>91</v>
      </c>
      <c r="O14" s="10" t="s">
        <v>37</v>
      </c>
      <c r="P14" s="11">
        <v>3</v>
      </c>
      <c r="Q14" s="11">
        <v>124.51666666666669</v>
      </c>
      <c r="R14" s="12">
        <v>1421.536193847656</v>
      </c>
      <c r="S14" s="13">
        <f t="shared" si="1"/>
        <v>192</v>
      </c>
      <c r="T14" s="13">
        <v>43</v>
      </c>
      <c r="U14" s="13">
        <v>117</v>
      </c>
      <c r="V14" s="13">
        <v>32</v>
      </c>
      <c r="W14" s="13">
        <v>3</v>
      </c>
      <c r="X14" s="14">
        <v>46166.114583333343</v>
      </c>
      <c r="Y14" s="14">
        <v>46166.25</v>
      </c>
      <c r="Z14" s="13">
        <v>7</v>
      </c>
      <c r="AA14" s="15">
        <v>3517.6540224700079</v>
      </c>
    </row>
    <row r="15" spans="1:27" x14ac:dyDescent="0.2">
      <c r="A15" s="2">
        <v>46167</v>
      </c>
      <c r="B15" s="3" t="s">
        <v>27</v>
      </c>
      <c r="C15" s="4">
        <f t="shared" si="0"/>
        <v>46167</v>
      </c>
      <c r="D15" s="5">
        <v>1983</v>
      </c>
      <c r="E15" s="6">
        <v>1.2889999999999999</v>
      </c>
      <c r="F15" s="6">
        <v>1.103</v>
      </c>
      <c r="G15" s="5">
        <v>235</v>
      </c>
      <c r="H15" s="7">
        <v>87</v>
      </c>
      <c r="I15" s="8">
        <v>45</v>
      </c>
      <c r="J15" s="9">
        <v>60.953081232492998</v>
      </c>
      <c r="K15" s="8">
        <v>117</v>
      </c>
      <c r="L15" s="9">
        <v>53.396449704142007</v>
      </c>
      <c r="M15" s="8">
        <v>0</v>
      </c>
      <c r="N15" s="8">
        <v>91</v>
      </c>
      <c r="O15" s="10" t="s">
        <v>38</v>
      </c>
      <c r="P15" s="11">
        <v>1</v>
      </c>
      <c r="Q15" s="11">
        <v>36.68333333333333</v>
      </c>
      <c r="R15" s="12">
        <v>153</v>
      </c>
      <c r="S15" s="13">
        <f t="shared" si="1"/>
        <v>654</v>
      </c>
      <c r="T15" s="13">
        <v>64</v>
      </c>
      <c r="U15" s="13">
        <v>416</v>
      </c>
      <c r="V15" s="13">
        <v>174</v>
      </c>
      <c r="W15" s="13">
        <v>18</v>
      </c>
      <c r="X15" s="14">
        <v>46167.132638888892</v>
      </c>
      <c r="Y15" s="14">
        <v>46167.599305555559</v>
      </c>
      <c r="Z15" s="13">
        <v>0</v>
      </c>
      <c r="AA15" s="15">
        <v>1832.8746947492159</v>
      </c>
    </row>
    <row r="16" spans="1:27" x14ac:dyDescent="0.2">
      <c r="A16" s="2">
        <v>46168</v>
      </c>
      <c r="B16" s="3" t="s">
        <v>27</v>
      </c>
      <c r="C16" s="4">
        <f t="shared" si="0"/>
        <v>46167</v>
      </c>
      <c r="D16" s="5">
        <v>9070</v>
      </c>
      <c r="E16" s="6">
        <v>6.29</v>
      </c>
      <c r="F16" s="6">
        <v>4.9050000000000002</v>
      </c>
      <c r="G16" s="5">
        <v>635</v>
      </c>
      <c r="H16" s="7">
        <v>177</v>
      </c>
      <c r="I16" s="8">
        <v>45</v>
      </c>
      <c r="J16" s="9">
        <v>66.165376495425761</v>
      </c>
      <c r="K16" s="8">
        <v>166</v>
      </c>
      <c r="L16" s="9">
        <v>49.285714285714278</v>
      </c>
      <c r="M16" s="8">
        <v>15</v>
      </c>
      <c r="N16" s="8">
        <v>91</v>
      </c>
      <c r="O16" s="10" t="s">
        <v>39</v>
      </c>
      <c r="P16" s="11">
        <v>1</v>
      </c>
      <c r="Q16" s="11">
        <v>64.833333333333329</v>
      </c>
      <c r="R16" s="12">
        <v>381</v>
      </c>
      <c r="S16" s="13">
        <f t="shared" si="1"/>
        <v>144</v>
      </c>
      <c r="T16" s="13">
        <v>47</v>
      </c>
      <c r="U16" s="13">
        <v>80</v>
      </c>
      <c r="V16" s="13">
        <v>17</v>
      </c>
      <c r="W16" s="13">
        <v>2</v>
      </c>
      <c r="X16" s="14">
        <v>46168.190972222219</v>
      </c>
      <c r="Y16" s="14">
        <v>46168.292361111111</v>
      </c>
      <c r="Z16" s="13">
        <v>0</v>
      </c>
      <c r="AA16" s="15">
        <v>2366.665805750863</v>
      </c>
    </row>
    <row r="17" spans="1:27" x14ac:dyDescent="0.2">
      <c r="A17" s="2">
        <v>46169</v>
      </c>
      <c r="B17" s="3" t="s">
        <v>27</v>
      </c>
      <c r="C17" s="4">
        <f t="shared" si="0"/>
        <v>46167</v>
      </c>
      <c r="D17" s="5">
        <v>4542</v>
      </c>
      <c r="E17" s="6">
        <v>3.0880000000000001</v>
      </c>
      <c r="F17" s="6">
        <v>2.4830000000000001</v>
      </c>
      <c r="G17" s="5">
        <v>719</v>
      </c>
      <c r="H17" s="7">
        <v>68</v>
      </c>
      <c r="I17" s="8">
        <v>40</v>
      </c>
      <c r="J17" s="9">
        <v>60.279911373707527</v>
      </c>
      <c r="K17" s="8">
        <v>138</v>
      </c>
      <c r="L17" s="9">
        <v>46.924657534246577</v>
      </c>
      <c r="M17" s="8">
        <v>0</v>
      </c>
      <c r="N17" s="8">
        <v>91</v>
      </c>
      <c r="O17" s="10" t="s">
        <v>40</v>
      </c>
      <c r="P17" s="11">
        <v>2</v>
      </c>
      <c r="Q17" s="11">
        <v>93.449999999999989</v>
      </c>
      <c r="R17" s="12">
        <v>557</v>
      </c>
      <c r="S17" s="13">
        <f t="shared" si="1"/>
        <v>499</v>
      </c>
      <c r="T17" s="13">
        <v>84</v>
      </c>
      <c r="U17" s="13">
        <v>317</v>
      </c>
      <c r="V17" s="13">
        <v>98</v>
      </c>
      <c r="W17" s="13">
        <v>12</v>
      </c>
      <c r="X17" s="14">
        <v>46169.121527777781</v>
      </c>
      <c r="Y17" s="14">
        <v>46169.476388888892</v>
      </c>
      <c r="Z17" s="13">
        <v>9</v>
      </c>
      <c r="AA17" s="15">
        <v>2357.5027114897998</v>
      </c>
    </row>
    <row r="18" spans="1:27" x14ac:dyDescent="0.2">
      <c r="A18" s="2">
        <v>46170</v>
      </c>
      <c r="B18" s="3" t="s">
        <v>27</v>
      </c>
      <c r="C18" s="4">
        <f t="shared" si="0"/>
        <v>46167</v>
      </c>
      <c r="D18" s="5">
        <v>2316</v>
      </c>
      <c r="E18" s="6">
        <v>1.5920000000000001</v>
      </c>
      <c r="F18" s="6">
        <v>1.3109999999999999</v>
      </c>
      <c r="G18" s="5">
        <v>102</v>
      </c>
      <c r="H18" s="7">
        <v>27</v>
      </c>
      <c r="I18" s="8">
        <v>43</v>
      </c>
      <c r="J18" s="9">
        <v>64.305477528089881</v>
      </c>
      <c r="K18" s="8">
        <v>102</v>
      </c>
      <c r="L18" s="9">
        <v>52.833333333333343</v>
      </c>
      <c r="M18" s="8">
        <v>0</v>
      </c>
      <c r="N18" s="8">
        <v>91</v>
      </c>
      <c r="O18" s="10"/>
      <c r="P18" s="11">
        <v>0</v>
      </c>
      <c r="Q18" s="11">
        <v>0</v>
      </c>
      <c r="R18" s="12">
        <v>0</v>
      </c>
      <c r="S18" s="13">
        <f t="shared" si="1"/>
        <v>195</v>
      </c>
      <c r="T18" s="13">
        <v>35</v>
      </c>
      <c r="U18" s="13">
        <v>115</v>
      </c>
      <c r="V18" s="13">
        <v>45</v>
      </c>
      <c r="W18" s="13">
        <v>1</v>
      </c>
      <c r="X18" s="14">
        <v>46170.411805555559</v>
      </c>
      <c r="Y18" s="14">
        <v>46170.54791666667</v>
      </c>
      <c r="Z18" s="13">
        <v>5</v>
      </c>
      <c r="AA18" s="15">
        <v>1689.045794342936</v>
      </c>
    </row>
    <row r="19" spans="1:27" x14ac:dyDescent="0.2">
      <c r="A19" s="2">
        <v>46171</v>
      </c>
      <c r="B19" s="3" t="s">
        <v>27</v>
      </c>
      <c r="C19" s="4">
        <f t="shared" si="0"/>
        <v>46167</v>
      </c>
      <c r="D19" s="5">
        <v>24675</v>
      </c>
      <c r="E19" s="6">
        <v>19.510999999999999</v>
      </c>
      <c r="F19" s="6">
        <v>14.861000000000001</v>
      </c>
      <c r="G19" s="5">
        <v>1685</v>
      </c>
      <c r="H19" s="7">
        <v>235</v>
      </c>
      <c r="I19" s="8">
        <v>40</v>
      </c>
      <c r="J19" s="9">
        <v>69.673390224980608</v>
      </c>
      <c r="K19" s="8">
        <v>179</v>
      </c>
      <c r="L19" s="9"/>
      <c r="M19" s="8">
        <v>66</v>
      </c>
      <c r="N19" s="8">
        <v>91</v>
      </c>
      <c r="O19" s="10" t="s">
        <v>41</v>
      </c>
      <c r="P19" s="11">
        <v>3</v>
      </c>
      <c r="Q19" s="11">
        <v>140.9</v>
      </c>
      <c r="R19" s="12">
        <v>1212.485237121582</v>
      </c>
      <c r="S19" s="13">
        <f t="shared" si="1"/>
        <v>343</v>
      </c>
      <c r="T19" s="13">
        <v>43</v>
      </c>
      <c r="U19" s="13">
        <v>211</v>
      </c>
      <c r="V19" s="13">
        <v>89</v>
      </c>
      <c r="W19" s="13">
        <v>8</v>
      </c>
      <c r="X19" s="14">
        <v>46170.949305555558</v>
      </c>
      <c r="Y19" s="14">
        <v>46171.193055555559</v>
      </c>
      <c r="Z19" s="13">
        <v>0</v>
      </c>
      <c r="AA19" s="15">
        <v>3369.8268714402861</v>
      </c>
    </row>
    <row r="20" spans="1:27" x14ac:dyDescent="0.2">
      <c r="A20" s="2">
        <v>46172</v>
      </c>
      <c r="B20" s="3" t="s">
        <v>27</v>
      </c>
      <c r="C20" s="4">
        <f t="shared" si="0"/>
        <v>46167</v>
      </c>
      <c r="D20" s="5">
        <v>9755</v>
      </c>
      <c r="E20" s="6">
        <v>6.7770000000000001</v>
      </c>
      <c r="F20" s="6">
        <v>5.4119999999999999</v>
      </c>
      <c r="G20" s="5">
        <v>1220</v>
      </c>
      <c r="H20" s="7">
        <v>388</v>
      </c>
      <c r="I20" s="8">
        <v>43</v>
      </c>
      <c r="J20" s="9">
        <v>73.284002818886535</v>
      </c>
      <c r="K20" s="8">
        <v>177</v>
      </c>
      <c r="L20" s="9"/>
      <c r="M20" s="8">
        <v>55</v>
      </c>
      <c r="N20" s="8">
        <v>91</v>
      </c>
      <c r="O20" s="10" t="s">
        <v>42</v>
      </c>
      <c r="P20" s="11">
        <v>1</v>
      </c>
      <c r="Q20" s="11">
        <v>89.6</v>
      </c>
      <c r="R20" s="12">
        <v>878</v>
      </c>
      <c r="S20" s="13">
        <f t="shared" si="1"/>
        <v>191</v>
      </c>
      <c r="T20" s="13">
        <v>33</v>
      </c>
      <c r="U20" s="13">
        <v>128</v>
      </c>
      <c r="V20" s="13">
        <v>30</v>
      </c>
      <c r="W20" s="13">
        <v>6</v>
      </c>
      <c r="X20" s="14">
        <v>46172.438888888893</v>
      </c>
      <c r="Y20" s="14">
        <v>46172.575694444437</v>
      </c>
      <c r="Z20" s="13">
        <v>12</v>
      </c>
      <c r="AA20" s="15">
        <v>2908.300478660296</v>
      </c>
    </row>
    <row r="21" spans="1:27" x14ac:dyDescent="0.2">
      <c r="A21" s="2">
        <v>46173</v>
      </c>
      <c r="B21" s="3" t="s">
        <v>27</v>
      </c>
      <c r="C21" s="4">
        <f t="shared" si="0"/>
        <v>46167</v>
      </c>
      <c r="D21" s="5">
        <v>17695</v>
      </c>
      <c r="E21" s="6">
        <v>13.016999999999999</v>
      </c>
      <c r="F21" s="6">
        <v>9.9510000000000005</v>
      </c>
      <c r="G21" s="5">
        <v>1903</v>
      </c>
      <c r="H21" s="7">
        <v>219</v>
      </c>
      <c r="I21" s="8">
        <v>40</v>
      </c>
      <c r="J21" s="9">
        <v>73.218457101658259</v>
      </c>
      <c r="K21" s="8">
        <v>180</v>
      </c>
      <c r="L21" s="9">
        <v>43.372340425531917</v>
      </c>
      <c r="M21" s="8">
        <v>92</v>
      </c>
      <c r="N21" s="8">
        <v>91</v>
      </c>
      <c r="O21" s="10" t="s">
        <v>43</v>
      </c>
      <c r="P21" s="11">
        <v>3</v>
      </c>
      <c r="Q21" s="11">
        <v>159.1166666666667</v>
      </c>
      <c r="R21" s="12">
        <v>1676.0763397216799</v>
      </c>
      <c r="S21" s="13">
        <f t="shared" si="1"/>
        <v>353</v>
      </c>
      <c r="T21" s="13">
        <v>65</v>
      </c>
      <c r="U21" s="13">
        <v>193</v>
      </c>
      <c r="V21" s="13">
        <v>95</v>
      </c>
      <c r="W21" s="13">
        <v>4</v>
      </c>
      <c r="X21" s="14">
        <v>46173.044444444437</v>
      </c>
      <c r="Y21" s="14">
        <v>46173.292361111111</v>
      </c>
      <c r="Z21" s="13">
        <v>1</v>
      </c>
      <c r="AA21" s="15">
        <v>3940.942617758948</v>
      </c>
    </row>
    <row r="22" spans="1:27" x14ac:dyDescent="0.2">
      <c r="A22" s="2">
        <v>46174</v>
      </c>
      <c r="B22" s="3" t="s">
        <v>27</v>
      </c>
      <c r="C22" s="4">
        <f t="shared" si="0"/>
        <v>46174</v>
      </c>
      <c r="D22" s="5">
        <v>3570</v>
      </c>
      <c r="E22" s="6">
        <v>2.427</v>
      </c>
      <c r="F22" s="6">
        <v>2.0209999999999999</v>
      </c>
      <c r="G22" s="5">
        <v>146</v>
      </c>
      <c r="H22" s="7">
        <v>100</v>
      </c>
      <c r="I22" s="8">
        <v>40</v>
      </c>
      <c r="J22" s="9">
        <v>56.786805555555553</v>
      </c>
      <c r="K22" s="8">
        <v>102</v>
      </c>
      <c r="L22" s="9">
        <v>46.872727272727268</v>
      </c>
      <c r="M22" s="8">
        <v>0</v>
      </c>
      <c r="N22" s="8">
        <v>83</v>
      </c>
      <c r="O22" s="10"/>
      <c r="P22" s="11">
        <v>0</v>
      </c>
      <c r="Q22" s="11">
        <v>0</v>
      </c>
      <c r="R22" s="12">
        <v>0</v>
      </c>
      <c r="S22" s="13">
        <f t="shared" si="1"/>
        <v>598</v>
      </c>
      <c r="T22" s="13">
        <v>91</v>
      </c>
      <c r="U22" s="13">
        <v>339</v>
      </c>
      <c r="V22" s="13">
        <v>168</v>
      </c>
      <c r="W22" s="13">
        <v>12</v>
      </c>
      <c r="X22" s="14">
        <v>46174.152777777781</v>
      </c>
      <c r="Y22" s="14">
        <v>46174.576388888891</v>
      </c>
      <c r="Z22" s="13">
        <v>0</v>
      </c>
      <c r="AA22" s="15">
        <v>1741.872869518256</v>
      </c>
    </row>
    <row r="23" spans="1:27" x14ac:dyDescent="0.2">
      <c r="A23" s="2">
        <v>46175</v>
      </c>
      <c r="B23" s="3" t="s">
        <v>27</v>
      </c>
      <c r="C23" s="4">
        <f t="shared" si="0"/>
        <v>46174</v>
      </c>
      <c r="D23" s="5">
        <v>5128</v>
      </c>
      <c r="E23" s="6">
        <v>3.3450000000000002</v>
      </c>
      <c r="F23" s="6">
        <v>2.9489999999999998</v>
      </c>
      <c r="G23" s="5">
        <v>281</v>
      </c>
      <c r="H23" s="7">
        <v>243</v>
      </c>
      <c r="I23" s="8">
        <v>40</v>
      </c>
      <c r="J23" s="9">
        <v>59.33620071684588</v>
      </c>
      <c r="K23" s="8">
        <v>94</v>
      </c>
      <c r="L23" s="9">
        <v>43.021739130434781</v>
      </c>
      <c r="M23" s="8">
        <v>0</v>
      </c>
      <c r="N23" s="8">
        <v>83</v>
      </c>
      <c r="O23" s="10"/>
      <c r="P23" s="11">
        <v>0</v>
      </c>
      <c r="Q23" s="11">
        <v>0</v>
      </c>
      <c r="R23" s="12">
        <v>0</v>
      </c>
      <c r="S23" s="13">
        <f t="shared" si="1"/>
        <v>209</v>
      </c>
      <c r="T23" s="13">
        <v>66</v>
      </c>
      <c r="U23" s="13">
        <v>99</v>
      </c>
      <c r="V23" s="13">
        <v>44</v>
      </c>
      <c r="W23" s="13">
        <v>4</v>
      </c>
      <c r="X23" s="14">
        <v>46175.071527777778</v>
      </c>
      <c r="Y23" s="14">
        <v>46175.219444444447</v>
      </c>
      <c r="Z23" s="13">
        <v>0</v>
      </c>
      <c r="AA23" s="15">
        <v>1807.5065083724421</v>
      </c>
    </row>
    <row r="24" spans="1:27" x14ac:dyDescent="0.2">
      <c r="A24" s="2">
        <v>46176</v>
      </c>
      <c r="B24" s="3" t="s">
        <v>27</v>
      </c>
      <c r="C24" s="4">
        <f t="shared" si="0"/>
        <v>46174</v>
      </c>
      <c r="D24" s="5">
        <v>3426</v>
      </c>
      <c r="E24" s="6">
        <v>2.2839999999999998</v>
      </c>
      <c r="F24" s="6">
        <v>1.954</v>
      </c>
      <c r="G24" s="5">
        <v>154</v>
      </c>
      <c r="H24" s="7">
        <v>102</v>
      </c>
      <c r="I24" s="8">
        <v>40</v>
      </c>
      <c r="J24" s="9">
        <v>55.980042765502503</v>
      </c>
      <c r="K24" s="8">
        <v>102</v>
      </c>
      <c r="L24" s="9">
        <v>47.72300469483568</v>
      </c>
      <c r="M24" s="8">
        <v>0</v>
      </c>
      <c r="N24" s="8">
        <v>83</v>
      </c>
      <c r="O24" s="10"/>
      <c r="P24" s="11">
        <v>0</v>
      </c>
      <c r="Q24" s="11">
        <v>0</v>
      </c>
      <c r="R24" s="12">
        <v>0</v>
      </c>
      <c r="S24" s="13">
        <f t="shared" si="1"/>
        <v>447</v>
      </c>
      <c r="T24" s="13">
        <v>81</v>
      </c>
      <c r="U24" s="13">
        <v>279</v>
      </c>
      <c r="V24" s="13">
        <v>87</v>
      </c>
      <c r="W24" s="13">
        <v>2</v>
      </c>
      <c r="X24" s="14">
        <v>46176.03125</v>
      </c>
      <c r="Y24" s="14">
        <v>46176.343055555553</v>
      </c>
      <c r="Z24" s="13">
        <v>5</v>
      </c>
      <c r="AA24" s="15">
        <v>1735.8066025124781</v>
      </c>
    </row>
    <row r="25" spans="1:27" x14ac:dyDescent="0.2">
      <c r="A25" s="2">
        <v>46177</v>
      </c>
      <c r="B25" s="3" t="s">
        <v>27</v>
      </c>
      <c r="C25" s="4">
        <f t="shared" si="0"/>
        <v>46174</v>
      </c>
      <c r="D25" s="5">
        <v>12506</v>
      </c>
      <c r="E25" s="6">
        <v>9.141</v>
      </c>
      <c r="F25" s="6">
        <v>7.2629999999999999</v>
      </c>
      <c r="G25" s="5">
        <v>925</v>
      </c>
      <c r="H25" s="7">
        <v>278</v>
      </c>
      <c r="I25" s="8">
        <v>40</v>
      </c>
      <c r="J25" s="9">
        <v>65.658605974395442</v>
      </c>
      <c r="K25" s="8">
        <v>184</v>
      </c>
      <c r="L25" s="9">
        <v>42.47594936708861</v>
      </c>
      <c r="M25" s="8">
        <v>15</v>
      </c>
      <c r="N25" s="8">
        <v>83</v>
      </c>
      <c r="O25" s="10" t="s">
        <v>44</v>
      </c>
      <c r="P25" s="11">
        <v>2</v>
      </c>
      <c r="Q25" s="11">
        <v>85.933333333333323</v>
      </c>
      <c r="R25" s="12">
        <v>498.89289855957031</v>
      </c>
      <c r="S25" s="13">
        <f t="shared" si="1"/>
        <v>399</v>
      </c>
      <c r="T25" s="13">
        <v>68</v>
      </c>
      <c r="U25" s="13">
        <v>234</v>
      </c>
      <c r="V25" s="13">
        <v>97</v>
      </c>
      <c r="W25" s="13">
        <v>8</v>
      </c>
      <c r="X25" s="14">
        <v>46177.0625</v>
      </c>
      <c r="Y25" s="14">
        <v>46177.345138888893</v>
      </c>
      <c r="Z25" s="13">
        <v>0</v>
      </c>
      <c r="AA25" s="15">
        <v>2539.8084364209121</v>
      </c>
    </row>
    <row r="26" spans="1:27" x14ac:dyDescent="0.2">
      <c r="A26" s="2">
        <v>46178</v>
      </c>
      <c r="B26" s="3" t="s">
        <v>27</v>
      </c>
      <c r="C26" s="4">
        <f t="shared" si="0"/>
        <v>46174</v>
      </c>
      <c r="D26" s="5">
        <v>9240</v>
      </c>
      <c r="E26" s="6">
        <v>6.7240000000000002</v>
      </c>
      <c r="F26" s="6">
        <v>5.1959999999999997</v>
      </c>
      <c r="G26" s="5">
        <v>308</v>
      </c>
      <c r="H26" s="7">
        <v>117</v>
      </c>
      <c r="I26" s="8">
        <v>42</v>
      </c>
      <c r="J26" s="9">
        <v>64.965439519158522</v>
      </c>
      <c r="K26" s="8">
        <v>116</v>
      </c>
      <c r="L26" s="9">
        <v>51.567567567567558</v>
      </c>
      <c r="M26" s="8">
        <v>0</v>
      </c>
      <c r="N26" s="8">
        <v>83</v>
      </c>
      <c r="O26" s="10"/>
      <c r="P26" s="11">
        <v>0</v>
      </c>
      <c r="Q26" s="11">
        <v>0</v>
      </c>
      <c r="R26" s="12">
        <v>0</v>
      </c>
      <c r="S26" s="13">
        <f t="shared" si="1"/>
        <v>481</v>
      </c>
      <c r="T26" s="13">
        <v>71</v>
      </c>
      <c r="U26" s="13">
        <v>305</v>
      </c>
      <c r="V26" s="13">
        <v>105</v>
      </c>
      <c r="W26" s="13">
        <v>8</v>
      </c>
      <c r="X26" s="14">
        <v>46178.049305555563</v>
      </c>
      <c r="Y26" s="14">
        <v>46178.388888888891</v>
      </c>
      <c r="Z26" s="13">
        <v>0</v>
      </c>
      <c r="AA26" s="15">
        <v>1980.7321328707801</v>
      </c>
    </row>
    <row r="27" spans="1:27" x14ac:dyDescent="0.2">
      <c r="A27" s="2">
        <v>46179</v>
      </c>
      <c r="B27" s="3" t="s">
        <v>27</v>
      </c>
      <c r="C27" s="4">
        <f t="shared" si="0"/>
        <v>46174</v>
      </c>
      <c r="D27" s="5">
        <v>8915</v>
      </c>
      <c r="E27" s="6">
        <v>6.157</v>
      </c>
      <c r="F27" s="6">
        <v>4.82</v>
      </c>
      <c r="G27" s="5">
        <v>289</v>
      </c>
      <c r="H27" s="7">
        <v>253</v>
      </c>
      <c r="I27" s="8">
        <v>43</v>
      </c>
      <c r="J27" s="9">
        <v>70.363057324840767</v>
      </c>
      <c r="K27" s="8">
        <v>157</v>
      </c>
      <c r="L27" s="9">
        <v>50.480186480186482</v>
      </c>
      <c r="M27" s="8">
        <v>5</v>
      </c>
      <c r="N27" s="8">
        <v>83</v>
      </c>
      <c r="O27" s="10"/>
      <c r="P27" s="11">
        <v>0</v>
      </c>
      <c r="Q27" s="11">
        <v>0</v>
      </c>
      <c r="R27" s="12">
        <v>0</v>
      </c>
      <c r="S27" s="13">
        <f t="shared" si="1"/>
        <v>422</v>
      </c>
      <c r="T27" s="13">
        <v>94</v>
      </c>
      <c r="U27" s="13">
        <v>217</v>
      </c>
      <c r="V27" s="13">
        <v>111</v>
      </c>
      <c r="W27" s="13">
        <v>6</v>
      </c>
      <c r="X27" s="14">
        <v>46179.079861111109</v>
      </c>
      <c r="Y27" s="14">
        <v>46179.377083333333</v>
      </c>
      <c r="Z27" s="13">
        <v>7</v>
      </c>
      <c r="AA27" s="15">
        <v>1967.040905253572</v>
      </c>
    </row>
    <row r="28" spans="1:27" x14ac:dyDescent="0.2">
      <c r="A28" s="2">
        <v>46180</v>
      </c>
      <c r="B28" s="3" t="s">
        <v>27</v>
      </c>
      <c r="C28" s="4">
        <f t="shared" si="0"/>
        <v>46174</v>
      </c>
      <c r="D28" s="5">
        <v>7774</v>
      </c>
      <c r="E28" s="6">
        <v>5.14</v>
      </c>
      <c r="F28" s="6">
        <v>4.351</v>
      </c>
      <c r="G28" s="5">
        <v>374</v>
      </c>
      <c r="H28" s="7">
        <v>240</v>
      </c>
      <c r="I28" s="8">
        <v>44</v>
      </c>
      <c r="J28" s="9">
        <v>63.476923076923079</v>
      </c>
      <c r="K28" s="8">
        <v>122</v>
      </c>
      <c r="L28" s="9">
        <v>52.671195652173907</v>
      </c>
      <c r="M28" s="8">
        <v>0</v>
      </c>
      <c r="N28" s="8">
        <v>83</v>
      </c>
      <c r="O28" s="10"/>
      <c r="P28" s="11">
        <v>0</v>
      </c>
      <c r="Q28" s="11">
        <v>0</v>
      </c>
      <c r="R28" s="12">
        <v>0</v>
      </c>
      <c r="S28" s="13">
        <f t="shared" si="1"/>
        <v>369</v>
      </c>
      <c r="T28" s="13">
        <v>61</v>
      </c>
      <c r="U28" s="13">
        <v>203</v>
      </c>
      <c r="V28" s="13">
        <v>105</v>
      </c>
      <c r="W28" s="13">
        <v>3</v>
      </c>
      <c r="X28" s="14">
        <v>46180.076388888891</v>
      </c>
      <c r="Y28" s="14">
        <v>46180.334722222222</v>
      </c>
      <c r="Z28" s="13">
        <v>0</v>
      </c>
      <c r="AA28" s="15">
        <v>1918.97416460362</v>
      </c>
    </row>
    <row r="29" spans="1:27" x14ac:dyDescent="0.2">
      <c r="A29" s="2">
        <v>46181</v>
      </c>
      <c r="B29" s="3" t="s">
        <v>27</v>
      </c>
      <c r="C29" s="4">
        <f t="shared" si="0"/>
        <v>46181</v>
      </c>
      <c r="D29" s="5">
        <v>5739</v>
      </c>
      <c r="E29" s="6">
        <v>3.911</v>
      </c>
      <c r="F29" s="6">
        <v>3.05</v>
      </c>
      <c r="G29" s="5">
        <v>610</v>
      </c>
      <c r="H29" s="7">
        <v>118</v>
      </c>
      <c r="I29" s="8">
        <v>40</v>
      </c>
      <c r="J29" s="9">
        <v>60.590489709013482</v>
      </c>
      <c r="K29" s="8">
        <v>128</v>
      </c>
      <c r="L29" s="9">
        <v>48.056856187290968</v>
      </c>
      <c r="M29" s="8">
        <v>0</v>
      </c>
      <c r="N29" s="8">
        <v>83</v>
      </c>
      <c r="O29" s="10" t="s">
        <v>45</v>
      </c>
      <c r="P29" s="11">
        <v>1</v>
      </c>
      <c r="Q29" s="11">
        <v>113.3666666666667</v>
      </c>
      <c r="R29" s="12">
        <v>449</v>
      </c>
      <c r="S29" s="13">
        <f t="shared" si="1"/>
        <v>294</v>
      </c>
      <c r="T29" s="13">
        <v>56</v>
      </c>
      <c r="U29" s="13">
        <v>188</v>
      </c>
      <c r="V29" s="13">
        <v>50</v>
      </c>
      <c r="W29" s="13">
        <v>4</v>
      </c>
      <c r="X29" s="14">
        <v>46181.118055555547</v>
      </c>
      <c r="Y29" s="14">
        <v>46181.324999999997</v>
      </c>
      <c r="Z29" s="13">
        <v>0</v>
      </c>
      <c r="AA29" s="15">
        <v>2296.499984546761</v>
      </c>
    </row>
    <row r="30" spans="1:27" x14ac:dyDescent="0.2">
      <c r="A30" s="2">
        <v>46182</v>
      </c>
      <c r="B30" s="3" t="s">
        <v>27</v>
      </c>
      <c r="C30" s="4">
        <f t="shared" si="0"/>
        <v>46181</v>
      </c>
      <c r="D30" s="5">
        <v>9947</v>
      </c>
      <c r="E30" s="6">
        <v>6.9690000000000003</v>
      </c>
      <c r="F30" s="6">
        <v>5.4</v>
      </c>
      <c r="G30" s="5">
        <v>633</v>
      </c>
      <c r="H30" s="7">
        <v>193</v>
      </c>
      <c r="I30" s="8">
        <v>40</v>
      </c>
      <c r="J30" s="9">
        <v>62.40347222222222</v>
      </c>
      <c r="K30" s="8">
        <v>131</v>
      </c>
      <c r="L30" s="9">
        <v>46.164429530201339</v>
      </c>
      <c r="M30" s="8">
        <v>0</v>
      </c>
      <c r="N30" s="8">
        <v>83</v>
      </c>
      <c r="O30" s="10" t="s">
        <v>46</v>
      </c>
      <c r="P30" s="11">
        <v>1</v>
      </c>
      <c r="Q30" s="11">
        <v>72.8</v>
      </c>
      <c r="R30" s="12">
        <v>359</v>
      </c>
      <c r="S30" s="13">
        <f t="shared" si="1"/>
        <v>400</v>
      </c>
      <c r="T30" s="13">
        <v>79</v>
      </c>
      <c r="U30" s="13">
        <v>220</v>
      </c>
      <c r="V30" s="13">
        <v>101</v>
      </c>
      <c r="W30" s="13">
        <v>8</v>
      </c>
      <c r="X30" s="14">
        <v>46182.097916666673</v>
      </c>
      <c r="Y30" s="14">
        <v>46182.381249999999</v>
      </c>
      <c r="Z30" s="13">
        <v>0</v>
      </c>
      <c r="AA30" s="15">
        <v>2380.9126441918102</v>
      </c>
    </row>
    <row r="31" spans="1:27" x14ac:dyDescent="0.2">
      <c r="A31" s="2">
        <v>46183</v>
      </c>
      <c r="B31" s="3" t="s">
        <v>27</v>
      </c>
      <c r="C31" s="4">
        <f t="shared" si="0"/>
        <v>46181</v>
      </c>
      <c r="D31" s="5">
        <v>6419</v>
      </c>
      <c r="E31" s="6">
        <v>4.383</v>
      </c>
      <c r="F31" s="6">
        <v>3.4740000000000002</v>
      </c>
      <c r="G31" s="5">
        <v>800</v>
      </c>
      <c r="H31" s="7">
        <v>124</v>
      </c>
      <c r="I31" s="8">
        <v>44</v>
      </c>
      <c r="J31" s="9">
        <v>68.387887527036767</v>
      </c>
      <c r="K31" s="8">
        <v>176</v>
      </c>
      <c r="L31" s="9">
        <v>48.718390804597703</v>
      </c>
      <c r="M31" s="8">
        <v>45</v>
      </c>
      <c r="N31" s="8">
        <v>83</v>
      </c>
      <c r="O31" s="10" t="s">
        <v>47</v>
      </c>
      <c r="P31" s="11">
        <v>1</v>
      </c>
      <c r="Q31" s="11">
        <v>54.483333333333327</v>
      </c>
      <c r="R31" s="12">
        <v>602</v>
      </c>
      <c r="S31" s="13">
        <f t="shared" si="1"/>
        <v>345</v>
      </c>
      <c r="T31" s="13">
        <v>75</v>
      </c>
      <c r="U31" s="13">
        <v>199</v>
      </c>
      <c r="V31" s="13">
        <v>71</v>
      </c>
      <c r="W31" s="13">
        <v>2</v>
      </c>
      <c r="X31" s="14">
        <v>46183.11041666667</v>
      </c>
      <c r="Y31" s="14">
        <v>46183.351388888892</v>
      </c>
      <c r="Z31" s="13">
        <v>0</v>
      </c>
      <c r="AA31" s="15">
        <v>2483.0033882645248</v>
      </c>
    </row>
    <row r="32" spans="1:27" x14ac:dyDescent="0.2">
      <c r="A32" s="2">
        <v>46184</v>
      </c>
      <c r="B32" s="3" t="s">
        <v>27</v>
      </c>
      <c r="C32" s="4">
        <f t="shared" si="0"/>
        <v>46181</v>
      </c>
      <c r="D32" s="5">
        <v>5834</v>
      </c>
      <c r="E32" s="6">
        <v>3.9609999999999999</v>
      </c>
      <c r="F32" s="6">
        <v>3.2549999999999999</v>
      </c>
      <c r="G32" s="5">
        <v>700</v>
      </c>
      <c r="H32" s="7">
        <v>149</v>
      </c>
      <c r="I32" s="8">
        <v>42</v>
      </c>
      <c r="J32" s="9">
        <v>63.820279720279721</v>
      </c>
      <c r="K32" s="8">
        <v>130</v>
      </c>
      <c r="L32" s="9">
        <v>47.915151515151507</v>
      </c>
      <c r="M32" s="8">
        <v>0</v>
      </c>
      <c r="N32" s="8">
        <v>83</v>
      </c>
      <c r="O32" s="10" t="s">
        <v>48</v>
      </c>
      <c r="P32" s="11">
        <v>1</v>
      </c>
      <c r="Q32" s="11">
        <v>105.43333333333329</v>
      </c>
      <c r="R32" s="12">
        <v>531</v>
      </c>
      <c r="S32" s="13">
        <f t="shared" si="1"/>
        <v>354</v>
      </c>
      <c r="T32" s="13">
        <v>92</v>
      </c>
      <c r="U32" s="13">
        <v>204</v>
      </c>
      <c r="V32" s="13">
        <v>58</v>
      </c>
      <c r="W32" s="13">
        <v>4</v>
      </c>
      <c r="X32" s="14">
        <v>46184.12222222222</v>
      </c>
      <c r="Y32" s="14">
        <v>46184.370833333327</v>
      </c>
      <c r="Z32" s="13">
        <v>0</v>
      </c>
      <c r="AA32" s="15">
        <v>2385.1052102995818</v>
      </c>
    </row>
    <row r="33" spans="1:27" x14ac:dyDescent="0.2">
      <c r="A33" s="2">
        <v>46185</v>
      </c>
      <c r="B33" s="3" t="s">
        <v>27</v>
      </c>
      <c r="C33" s="4">
        <f t="shared" si="0"/>
        <v>46181</v>
      </c>
      <c r="D33" s="5">
        <v>9563</v>
      </c>
      <c r="E33" s="6">
        <v>6.649</v>
      </c>
      <c r="F33" s="6">
        <v>5.3220000000000001</v>
      </c>
      <c r="G33" s="5">
        <v>704</v>
      </c>
      <c r="H33" s="7">
        <v>153</v>
      </c>
      <c r="I33" s="8">
        <v>44</v>
      </c>
      <c r="J33" s="9">
        <v>66.240370898716122</v>
      </c>
      <c r="K33" s="8">
        <v>137</v>
      </c>
      <c r="L33" s="9">
        <v>49.16990291262136</v>
      </c>
      <c r="M33" s="8">
        <v>0</v>
      </c>
      <c r="N33" s="8">
        <v>83</v>
      </c>
      <c r="O33" s="10" t="s">
        <v>49</v>
      </c>
      <c r="P33" s="11">
        <v>1</v>
      </c>
      <c r="Q33" s="11">
        <v>73.183333333333337</v>
      </c>
      <c r="R33" s="12">
        <v>436</v>
      </c>
      <c r="S33" s="13">
        <f t="shared" si="1"/>
        <v>212</v>
      </c>
      <c r="T33" s="13">
        <v>52</v>
      </c>
      <c r="U33" s="13">
        <v>113</v>
      </c>
      <c r="V33" s="13">
        <v>47</v>
      </c>
      <c r="W33" s="13">
        <v>13</v>
      </c>
      <c r="X33" s="14">
        <v>46185.227777777778</v>
      </c>
      <c r="Y33" s="14">
        <v>46185.384027777778</v>
      </c>
      <c r="Z33" s="13">
        <v>7</v>
      </c>
      <c r="AA33" s="15">
        <v>2444.180376620845</v>
      </c>
    </row>
    <row r="34" spans="1:27" x14ac:dyDescent="0.2">
      <c r="A34" s="2">
        <v>46186</v>
      </c>
      <c r="B34" s="3" t="s">
        <v>27</v>
      </c>
      <c r="C34" s="4">
        <f t="shared" ref="C34:C65" si="2">A34-WEEKDAY(A34,3)</f>
        <v>46181</v>
      </c>
      <c r="D34" s="5">
        <v>4859</v>
      </c>
      <c r="E34" s="6">
        <v>3.266</v>
      </c>
      <c r="F34" s="6">
        <v>2.6469999999999998</v>
      </c>
      <c r="G34" s="5">
        <v>463</v>
      </c>
      <c r="H34" s="7">
        <v>115</v>
      </c>
      <c r="I34" s="8">
        <v>40</v>
      </c>
      <c r="J34" s="9">
        <v>66.303180212014141</v>
      </c>
      <c r="K34" s="8">
        <v>123</v>
      </c>
      <c r="L34" s="9">
        <v>49.102222222222217</v>
      </c>
      <c r="M34" s="8">
        <v>0</v>
      </c>
      <c r="N34" s="8">
        <v>83</v>
      </c>
      <c r="O34" s="10" t="s">
        <v>50</v>
      </c>
      <c r="P34" s="11">
        <v>1</v>
      </c>
      <c r="Q34" s="11">
        <v>65.033333333333331</v>
      </c>
      <c r="R34" s="12">
        <v>305</v>
      </c>
      <c r="S34" s="13">
        <f t="shared" ref="S34:S65" si="3">IF(COUNT(T34:V34)=3,T34+U34+V34,"")</f>
        <v>457</v>
      </c>
      <c r="T34" s="13">
        <v>91</v>
      </c>
      <c r="U34" s="13">
        <v>268</v>
      </c>
      <c r="V34" s="13">
        <v>98</v>
      </c>
      <c r="W34" s="13">
        <v>12</v>
      </c>
      <c r="X34" s="14">
        <v>46186.10833333333</v>
      </c>
      <c r="Y34" s="14">
        <v>46186.434027777781</v>
      </c>
      <c r="Z34" s="13">
        <v>0</v>
      </c>
      <c r="AA34" s="15">
        <v>2110.8569242733538</v>
      </c>
    </row>
    <row r="35" spans="1:27" x14ac:dyDescent="0.2">
      <c r="A35" s="2">
        <v>46187</v>
      </c>
      <c r="B35" s="3" t="s">
        <v>27</v>
      </c>
      <c r="C35" s="4">
        <f t="shared" si="2"/>
        <v>46181</v>
      </c>
      <c r="D35" s="5">
        <v>17087</v>
      </c>
      <c r="E35" s="6">
        <v>12.685</v>
      </c>
      <c r="F35" s="6">
        <v>9.5809999999999995</v>
      </c>
      <c r="G35" s="5">
        <v>1705</v>
      </c>
      <c r="H35" s="7">
        <v>233</v>
      </c>
      <c r="I35" s="8">
        <v>40</v>
      </c>
      <c r="J35" s="9">
        <v>71.147234678624812</v>
      </c>
      <c r="K35" s="8">
        <v>176</v>
      </c>
      <c r="L35" s="9">
        <v>45.949886104783602</v>
      </c>
      <c r="M35" s="8">
        <v>104</v>
      </c>
      <c r="N35" s="8">
        <v>83</v>
      </c>
      <c r="O35" s="10" t="s">
        <v>51</v>
      </c>
      <c r="P35" s="11">
        <v>2</v>
      </c>
      <c r="Q35" s="11">
        <v>145.93333333333331</v>
      </c>
      <c r="R35" s="12">
        <v>1350.8742980957029</v>
      </c>
      <c r="S35" s="13">
        <f t="shared" si="3"/>
        <v>489</v>
      </c>
      <c r="T35" s="13">
        <v>128</v>
      </c>
      <c r="U35" s="13">
        <v>254</v>
      </c>
      <c r="V35" s="13">
        <v>107</v>
      </c>
      <c r="W35" s="13">
        <v>9</v>
      </c>
      <c r="X35" s="14">
        <v>46187.066666666673</v>
      </c>
      <c r="Y35" s="14">
        <v>46187.412499999999</v>
      </c>
      <c r="Z35" s="13">
        <v>0</v>
      </c>
      <c r="AA35" s="15">
        <v>3545.821245377761</v>
      </c>
    </row>
    <row r="36" spans="1:27" x14ac:dyDescent="0.2">
      <c r="A36" s="2">
        <v>46188</v>
      </c>
      <c r="B36" s="3" t="s">
        <v>27</v>
      </c>
      <c r="C36" s="4">
        <f t="shared" si="2"/>
        <v>46188</v>
      </c>
      <c r="D36" s="5">
        <v>5810</v>
      </c>
      <c r="E36" s="6">
        <v>3.9710000000000001</v>
      </c>
      <c r="F36" s="6">
        <v>3.2589999999999999</v>
      </c>
      <c r="G36" s="5">
        <v>497</v>
      </c>
      <c r="H36" s="7">
        <v>73</v>
      </c>
      <c r="I36" s="8">
        <v>45</v>
      </c>
      <c r="J36" s="9">
        <v>70.65625</v>
      </c>
      <c r="K36" s="8">
        <v>139</v>
      </c>
      <c r="L36" s="9">
        <v>50.838797814207652</v>
      </c>
      <c r="M36" s="8">
        <v>0</v>
      </c>
      <c r="N36" s="8">
        <v>83</v>
      </c>
      <c r="O36" s="10" t="s">
        <v>35</v>
      </c>
      <c r="P36" s="11">
        <v>1</v>
      </c>
      <c r="Q36" s="11">
        <v>44.033333333333331</v>
      </c>
      <c r="R36" s="12">
        <v>301</v>
      </c>
      <c r="S36" s="13">
        <f t="shared" si="3"/>
        <v>360</v>
      </c>
      <c r="T36" s="13">
        <v>59</v>
      </c>
      <c r="U36" s="13">
        <v>212</v>
      </c>
      <c r="V36" s="13">
        <v>89</v>
      </c>
      <c r="W36" s="13">
        <v>5</v>
      </c>
      <c r="X36" s="14">
        <v>46188.140277777777</v>
      </c>
      <c r="Y36" s="14">
        <v>46188.393750000003</v>
      </c>
      <c r="Z36" s="13">
        <v>5</v>
      </c>
      <c r="AA36" s="15">
        <v>2146.7925784970312</v>
      </c>
    </row>
    <row r="37" spans="1:27" x14ac:dyDescent="0.2">
      <c r="A37" s="2">
        <v>46189</v>
      </c>
      <c r="B37" s="3" t="s">
        <v>27</v>
      </c>
      <c r="C37" s="4">
        <f t="shared" si="2"/>
        <v>46188</v>
      </c>
      <c r="D37" s="5">
        <v>5062</v>
      </c>
      <c r="E37" s="6">
        <v>3.4660000000000002</v>
      </c>
      <c r="F37" s="6">
        <v>2.7490000000000001</v>
      </c>
      <c r="G37" s="5">
        <v>179</v>
      </c>
      <c r="H37" s="7">
        <v>107</v>
      </c>
      <c r="I37" s="8">
        <v>50</v>
      </c>
      <c r="J37" s="9">
        <v>69.020833333333329</v>
      </c>
      <c r="K37" s="8">
        <v>117</v>
      </c>
      <c r="L37" s="9">
        <v>58.545205479452058</v>
      </c>
      <c r="M37" s="8">
        <v>0</v>
      </c>
      <c r="N37" s="8">
        <v>83</v>
      </c>
      <c r="O37" s="10"/>
      <c r="P37" s="11">
        <v>0</v>
      </c>
      <c r="Q37" s="11">
        <v>0</v>
      </c>
      <c r="R37" s="12">
        <v>0</v>
      </c>
      <c r="S37" s="13">
        <f t="shared" si="3"/>
        <v>392</v>
      </c>
      <c r="T37" s="13">
        <v>40</v>
      </c>
      <c r="U37" s="13">
        <v>279</v>
      </c>
      <c r="V37" s="13">
        <v>73</v>
      </c>
      <c r="W37" s="13">
        <v>49</v>
      </c>
      <c r="X37" s="14">
        <v>46189.088194444441</v>
      </c>
      <c r="Y37" s="14">
        <v>46189.394444444442</v>
      </c>
      <c r="Z37" s="13">
        <v>1</v>
      </c>
      <c r="AA37" s="15">
        <v>1804.7261359947929</v>
      </c>
    </row>
    <row r="38" spans="1:27" x14ac:dyDescent="0.2">
      <c r="A38" s="2">
        <v>46190</v>
      </c>
      <c r="B38" s="3" t="s">
        <v>27</v>
      </c>
      <c r="C38" s="4">
        <f t="shared" si="2"/>
        <v>46188</v>
      </c>
      <c r="D38" s="5">
        <v>16400</v>
      </c>
      <c r="E38" s="6">
        <v>13.365</v>
      </c>
      <c r="F38" s="6">
        <v>9.9930000000000003</v>
      </c>
      <c r="G38" s="5">
        <v>924</v>
      </c>
      <c r="H38" s="7">
        <v>181</v>
      </c>
      <c r="I38" s="8">
        <v>42</v>
      </c>
      <c r="J38" s="9">
        <v>74.505964912280703</v>
      </c>
      <c r="K38" s="8">
        <v>180</v>
      </c>
      <c r="L38" s="9">
        <v>50.316455696202532</v>
      </c>
      <c r="M38" s="8">
        <v>50</v>
      </c>
      <c r="N38" s="8">
        <v>83</v>
      </c>
      <c r="O38" s="10" t="s">
        <v>52</v>
      </c>
      <c r="P38" s="11">
        <v>1</v>
      </c>
      <c r="Q38" s="11">
        <v>50.75</v>
      </c>
      <c r="R38" s="12">
        <v>642.255859375</v>
      </c>
      <c r="S38" s="13">
        <f t="shared" si="3"/>
        <v>229</v>
      </c>
      <c r="T38" s="13">
        <v>28</v>
      </c>
      <c r="U38" s="13">
        <v>144</v>
      </c>
      <c r="V38" s="13">
        <v>57</v>
      </c>
      <c r="W38" s="13">
        <v>7</v>
      </c>
      <c r="X38" s="14">
        <v>46190.033333333333</v>
      </c>
      <c r="Y38" s="14">
        <v>46190.197222222218</v>
      </c>
      <c r="Z38" s="13">
        <v>7</v>
      </c>
      <c r="AA38" s="15">
        <v>2618.622525198391</v>
      </c>
    </row>
    <row r="39" spans="1:27" x14ac:dyDescent="0.2">
      <c r="A39" s="2">
        <v>46191</v>
      </c>
      <c r="B39" s="3" t="s">
        <v>27</v>
      </c>
      <c r="C39" s="4">
        <f t="shared" si="2"/>
        <v>46188</v>
      </c>
      <c r="D39" s="5">
        <v>9327</v>
      </c>
      <c r="E39" s="6">
        <v>6.1980000000000004</v>
      </c>
      <c r="F39" s="6">
        <v>5.1059999999999999</v>
      </c>
      <c r="G39" s="5">
        <v>1046</v>
      </c>
      <c r="H39" s="7">
        <v>275</v>
      </c>
      <c r="I39" s="8">
        <v>42</v>
      </c>
      <c r="J39" s="9">
        <v>65.08819444444444</v>
      </c>
      <c r="K39" s="8">
        <v>123</v>
      </c>
      <c r="L39" s="9"/>
      <c r="M39" s="8">
        <v>0</v>
      </c>
      <c r="N39" s="8">
        <v>83</v>
      </c>
      <c r="O39" s="10" t="s">
        <v>53</v>
      </c>
      <c r="P39" s="11">
        <v>1</v>
      </c>
      <c r="Q39" s="11">
        <v>270.89999999999998</v>
      </c>
      <c r="R39" s="12">
        <v>864</v>
      </c>
      <c r="S39" s="13">
        <f t="shared" si="3"/>
        <v>375</v>
      </c>
      <c r="T39" s="13">
        <v>57</v>
      </c>
      <c r="U39" s="13">
        <v>218</v>
      </c>
      <c r="V39" s="13">
        <v>100</v>
      </c>
      <c r="W39" s="13">
        <v>6</v>
      </c>
      <c r="X39" s="14">
        <v>46191.190972222219</v>
      </c>
      <c r="Y39" s="14">
        <v>46191.455555555563</v>
      </c>
      <c r="Z39" s="13">
        <v>0</v>
      </c>
      <c r="AA39" s="15">
        <v>2875.825740615343</v>
      </c>
    </row>
    <row r="40" spans="1:27" x14ac:dyDescent="0.2">
      <c r="A40" s="2">
        <v>46192</v>
      </c>
      <c r="B40" s="3" t="s">
        <v>27</v>
      </c>
      <c r="C40" s="4">
        <f t="shared" si="2"/>
        <v>46188</v>
      </c>
      <c r="D40" s="5">
        <v>9497</v>
      </c>
      <c r="E40" s="6">
        <v>6.7469999999999999</v>
      </c>
      <c r="F40" s="6">
        <v>5.2969999999999997</v>
      </c>
      <c r="G40" s="5">
        <v>493</v>
      </c>
      <c r="H40" s="7">
        <v>163</v>
      </c>
      <c r="I40" s="8">
        <v>40</v>
      </c>
      <c r="J40" s="9">
        <v>62.445482866043612</v>
      </c>
      <c r="K40" s="8">
        <v>133</v>
      </c>
      <c r="L40" s="9">
        <v>46.311538461538461</v>
      </c>
      <c r="M40" s="8">
        <v>0</v>
      </c>
      <c r="N40" s="8">
        <v>83</v>
      </c>
      <c r="O40" s="10" t="s">
        <v>54</v>
      </c>
      <c r="P40" s="11">
        <v>1</v>
      </c>
      <c r="Q40" s="11">
        <v>60.05</v>
      </c>
      <c r="R40" s="12">
        <v>195</v>
      </c>
      <c r="S40" s="13">
        <f t="shared" si="3"/>
        <v>338</v>
      </c>
      <c r="T40" s="13">
        <v>66</v>
      </c>
      <c r="U40" s="13">
        <v>191</v>
      </c>
      <c r="V40" s="13">
        <v>81</v>
      </c>
      <c r="W40" s="13">
        <v>11</v>
      </c>
      <c r="X40" s="14">
        <v>46192.129861111112</v>
      </c>
      <c r="Y40" s="14">
        <v>46192.37222222222</v>
      </c>
      <c r="Z40" s="13">
        <v>0</v>
      </c>
      <c r="AA40" s="15">
        <v>2192.749210592403</v>
      </c>
    </row>
    <row r="41" spans="1:27" x14ac:dyDescent="0.2">
      <c r="A41" s="2">
        <v>46193</v>
      </c>
      <c r="B41" s="3" t="s">
        <v>27</v>
      </c>
      <c r="C41" s="4">
        <f t="shared" si="2"/>
        <v>46188</v>
      </c>
      <c r="D41" s="5">
        <v>8712</v>
      </c>
      <c r="E41" s="6">
        <v>6.1849999999999996</v>
      </c>
      <c r="F41" s="6">
        <v>4.7549999999999999</v>
      </c>
      <c r="G41" s="5">
        <v>471</v>
      </c>
      <c r="H41" s="7">
        <v>152</v>
      </c>
      <c r="I41" s="8">
        <v>40</v>
      </c>
      <c r="J41" s="9">
        <v>59.715707178393743</v>
      </c>
      <c r="K41" s="8">
        <v>114</v>
      </c>
      <c r="L41" s="9">
        <v>45.920127795527158</v>
      </c>
      <c r="M41" s="8">
        <v>0</v>
      </c>
      <c r="N41" s="8">
        <v>83</v>
      </c>
      <c r="O41" s="10" t="s">
        <v>55</v>
      </c>
      <c r="P41" s="11">
        <v>1</v>
      </c>
      <c r="Q41" s="11">
        <v>59.283333333333331</v>
      </c>
      <c r="R41" s="12">
        <v>196</v>
      </c>
      <c r="S41" s="13">
        <f t="shared" si="3"/>
        <v>522</v>
      </c>
      <c r="T41" s="13">
        <v>95</v>
      </c>
      <c r="U41" s="13">
        <v>302</v>
      </c>
      <c r="V41" s="13">
        <v>125</v>
      </c>
      <c r="W41" s="13">
        <v>27</v>
      </c>
      <c r="X41" s="14">
        <v>46193.154861111107</v>
      </c>
      <c r="Y41" s="14">
        <v>46193.536111111112</v>
      </c>
      <c r="Z41" s="13">
        <v>0</v>
      </c>
      <c r="AA41" s="15">
        <v>2160.7113760718148</v>
      </c>
    </row>
    <row r="42" spans="1:27" x14ac:dyDescent="0.2">
      <c r="A42" s="2">
        <v>46194</v>
      </c>
      <c r="B42" s="3" t="s">
        <v>27</v>
      </c>
      <c r="C42" s="4">
        <f t="shared" si="2"/>
        <v>46188</v>
      </c>
      <c r="D42" s="5">
        <v>6573</v>
      </c>
      <c r="E42" s="6">
        <v>4.6669999999999998</v>
      </c>
      <c r="F42" s="6">
        <v>3.738</v>
      </c>
      <c r="G42" s="5">
        <v>528</v>
      </c>
      <c r="H42" s="7">
        <v>120</v>
      </c>
      <c r="I42" s="8">
        <v>40</v>
      </c>
      <c r="J42" s="9">
        <v>64.506075768406006</v>
      </c>
      <c r="K42" s="8">
        <v>145</v>
      </c>
      <c r="L42" s="9">
        <v>43.185430463576161</v>
      </c>
      <c r="M42" s="8">
        <v>1</v>
      </c>
      <c r="N42" s="8">
        <v>83</v>
      </c>
      <c r="O42" s="10" t="s">
        <v>56</v>
      </c>
      <c r="P42" s="11">
        <v>1</v>
      </c>
      <c r="Q42" s="11">
        <v>61.716666666666669</v>
      </c>
      <c r="R42" s="12">
        <v>367</v>
      </c>
      <c r="S42" s="13">
        <f t="shared" si="3"/>
        <v>212</v>
      </c>
      <c r="T42" s="13">
        <v>22</v>
      </c>
      <c r="U42" s="13">
        <v>132</v>
      </c>
      <c r="V42" s="13">
        <v>58</v>
      </c>
      <c r="W42" s="13">
        <v>0</v>
      </c>
      <c r="X42" s="14">
        <v>46194.127083333333</v>
      </c>
      <c r="Y42" s="14">
        <v>46194.274305555547</v>
      </c>
      <c r="Z42" s="13">
        <v>11</v>
      </c>
      <c r="AA42" s="15">
        <v>2247.0306063520529</v>
      </c>
    </row>
    <row r="43" spans="1:27" x14ac:dyDescent="0.2">
      <c r="A43" s="2">
        <v>46195</v>
      </c>
      <c r="B43" s="3" t="s">
        <v>27</v>
      </c>
      <c r="C43" s="4">
        <f t="shared" si="2"/>
        <v>46195</v>
      </c>
      <c r="D43" s="5">
        <v>6034</v>
      </c>
      <c r="E43" s="6">
        <v>4.1379999999999999</v>
      </c>
      <c r="F43" s="6">
        <v>3.3210000000000002</v>
      </c>
      <c r="G43" s="5">
        <v>492</v>
      </c>
      <c r="H43" s="7">
        <v>142</v>
      </c>
      <c r="I43" s="8">
        <v>40</v>
      </c>
      <c r="J43" s="9">
        <v>58.178487918939993</v>
      </c>
      <c r="K43" s="8">
        <v>116</v>
      </c>
      <c r="L43" s="9">
        <v>45.882075471698123</v>
      </c>
      <c r="M43" s="8">
        <v>0</v>
      </c>
      <c r="N43" s="8">
        <v>83</v>
      </c>
      <c r="O43" s="10" t="s">
        <v>57</v>
      </c>
      <c r="P43" s="11">
        <v>1</v>
      </c>
      <c r="Q43" s="11">
        <v>68.583333333333329</v>
      </c>
      <c r="R43" s="12">
        <v>259</v>
      </c>
      <c r="S43" s="13">
        <f t="shared" si="3"/>
        <v>383</v>
      </c>
      <c r="T43" s="13">
        <v>96</v>
      </c>
      <c r="U43" s="13">
        <v>235</v>
      </c>
      <c r="V43" s="13">
        <v>52</v>
      </c>
      <c r="W43" s="13">
        <v>44</v>
      </c>
      <c r="X43" s="14">
        <v>46195.098611111112</v>
      </c>
      <c r="Y43" s="14">
        <v>46195.395138888889</v>
      </c>
      <c r="Z43" s="13">
        <v>1</v>
      </c>
      <c r="AA43" s="15">
        <v>2112.8956605060198</v>
      </c>
    </row>
    <row r="44" spans="1:27" x14ac:dyDescent="0.2">
      <c r="A44" s="2">
        <v>46196</v>
      </c>
      <c r="B44" s="3" t="s">
        <v>27</v>
      </c>
      <c r="C44" s="4">
        <f t="shared" si="2"/>
        <v>46195</v>
      </c>
      <c r="D44" s="5">
        <v>7021</v>
      </c>
      <c r="E44" s="6">
        <v>4.968</v>
      </c>
      <c r="F44" s="6">
        <v>3.9319999999999999</v>
      </c>
      <c r="G44" s="5">
        <v>256</v>
      </c>
      <c r="H44" s="7">
        <v>97</v>
      </c>
      <c r="I44" s="8">
        <v>48</v>
      </c>
      <c r="J44" s="9">
        <v>65.160278745644604</v>
      </c>
      <c r="K44" s="8">
        <v>108</v>
      </c>
      <c r="L44" s="9">
        <v>56.742465753424661</v>
      </c>
      <c r="M44" s="8">
        <v>0</v>
      </c>
      <c r="N44" s="8">
        <v>83</v>
      </c>
      <c r="O44" s="10"/>
      <c r="P44" s="11">
        <v>0</v>
      </c>
      <c r="Q44" s="11">
        <v>0</v>
      </c>
      <c r="R44" s="12">
        <v>0</v>
      </c>
      <c r="S44" s="13">
        <f t="shared" si="3"/>
        <v>374</v>
      </c>
      <c r="T44" s="13">
        <v>60</v>
      </c>
      <c r="U44" s="13">
        <v>212</v>
      </c>
      <c r="V44" s="13">
        <v>102</v>
      </c>
      <c r="W44" s="13">
        <v>9</v>
      </c>
      <c r="X44" s="14">
        <v>46196.14166666667</v>
      </c>
      <c r="Y44" s="14">
        <v>46196.407638888893</v>
      </c>
      <c r="Z44" s="13">
        <v>0</v>
      </c>
      <c r="AA44" s="15">
        <v>1887.2526433859041</v>
      </c>
    </row>
    <row r="45" spans="1:27" x14ac:dyDescent="0.2">
      <c r="A45" s="2">
        <v>46197</v>
      </c>
      <c r="B45" s="3" t="s">
        <v>27</v>
      </c>
      <c r="C45" s="4">
        <f t="shared" si="2"/>
        <v>46195</v>
      </c>
      <c r="D45" s="5">
        <v>10599</v>
      </c>
      <c r="E45" s="6">
        <v>7.6159999999999997</v>
      </c>
      <c r="F45" s="6">
        <v>5.9569999999999999</v>
      </c>
      <c r="G45" s="5">
        <v>948</v>
      </c>
      <c r="H45" s="7">
        <v>197</v>
      </c>
      <c r="I45" s="8">
        <v>40</v>
      </c>
      <c r="J45" s="9">
        <v>60.367176634214189</v>
      </c>
      <c r="K45" s="8">
        <v>135</v>
      </c>
      <c r="L45" s="9">
        <v>44.233595800524931</v>
      </c>
      <c r="M45" s="8">
        <v>0</v>
      </c>
      <c r="N45" s="8">
        <v>83</v>
      </c>
      <c r="O45" s="10" t="s">
        <v>30</v>
      </c>
      <c r="P45" s="11">
        <v>1</v>
      </c>
      <c r="Q45" s="11">
        <v>52.083333333333343</v>
      </c>
      <c r="R45" s="12">
        <v>288</v>
      </c>
      <c r="S45" s="13">
        <f t="shared" si="3"/>
        <v>452</v>
      </c>
      <c r="T45" s="13">
        <v>56</v>
      </c>
      <c r="U45" s="13">
        <v>262</v>
      </c>
      <c r="V45" s="13">
        <v>134</v>
      </c>
      <c r="W45" s="13">
        <v>6</v>
      </c>
      <c r="X45" s="14">
        <v>46197.123611111107</v>
      </c>
      <c r="Y45" s="14">
        <v>46197.441666666673</v>
      </c>
      <c r="Z45" s="13">
        <v>0</v>
      </c>
      <c r="AA45" s="15">
        <v>2335.1253848806709</v>
      </c>
    </row>
    <row r="46" spans="1:27" x14ac:dyDescent="0.2">
      <c r="A46" s="2">
        <v>46198</v>
      </c>
      <c r="B46" s="3" t="s">
        <v>27</v>
      </c>
      <c r="C46" s="4">
        <f t="shared" si="2"/>
        <v>46195</v>
      </c>
      <c r="D46" s="5">
        <v>10541</v>
      </c>
      <c r="E46" s="6">
        <v>8.0169999999999995</v>
      </c>
      <c r="F46" s="6">
        <v>6.3570000000000002</v>
      </c>
      <c r="G46" s="5">
        <v>1018</v>
      </c>
      <c r="H46" s="7">
        <v>139</v>
      </c>
      <c r="I46" s="8">
        <v>40</v>
      </c>
      <c r="J46" s="9">
        <v>68.084884586746085</v>
      </c>
      <c r="K46" s="8">
        <v>187</v>
      </c>
      <c r="L46" s="9">
        <v>45.754385964912281</v>
      </c>
      <c r="M46" s="8">
        <v>34</v>
      </c>
      <c r="N46" s="8">
        <v>83</v>
      </c>
      <c r="O46" s="10" t="s">
        <v>58</v>
      </c>
      <c r="P46" s="11">
        <v>2</v>
      </c>
      <c r="Q46" s="11">
        <v>59.2</v>
      </c>
      <c r="R46" s="12">
        <v>10.65928363800049</v>
      </c>
      <c r="S46" s="13">
        <f t="shared" si="3"/>
        <v>300</v>
      </c>
      <c r="T46" s="13">
        <v>69</v>
      </c>
      <c r="U46" s="13">
        <v>163</v>
      </c>
      <c r="V46" s="13">
        <v>68</v>
      </c>
      <c r="W46" s="13">
        <v>9</v>
      </c>
      <c r="X46" s="14">
        <v>46198.170138888891</v>
      </c>
      <c r="Y46" s="14">
        <v>46198.384722222218</v>
      </c>
      <c r="Z46" s="13">
        <v>0</v>
      </c>
      <c r="AA46" s="15">
        <v>2044.209836603826</v>
      </c>
    </row>
    <row r="47" spans="1:27" x14ac:dyDescent="0.2">
      <c r="A47" s="2">
        <v>46199</v>
      </c>
      <c r="B47" s="3" t="s">
        <v>27</v>
      </c>
      <c r="C47" s="4">
        <f t="shared" si="2"/>
        <v>46195</v>
      </c>
      <c r="D47" s="5">
        <v>3029</v>
      </c>
      <c r="E47" s="6">
        <v>1.986</v>
      </c>
      <c r="F47" s="6">
        <v>1.75</v>
      </c>
      <c r="G47" s="5">
        <v>391</v>
      </c>
      <c r="H47" s="7">
        <v>100</v>
      </c>
      <c r="I47" s="8">
        <v>41</v>
      </c>
      <c r="J47" s="9">
        <v>62.842326559215138</v>
      </c>
      <c r="K47" s="8">
        <v>125</v>
      </c>
      <c r="L47" s="9">
        <v>49.831715210355988</v>
      </c>
      <c r="M47" s="8">
        <v>0</v>
      </c>
      <c r="N47" s="8">
        <v>83</v>
      </c>
      <c r="O47" s="10" t="s">
        <v>59</v>
      </c>
      <c r="P47" s="11">
        <v>1</v>
      </c>
      <c r="Q47" s="11">
        <v>66.900000000000006</v>
      </c>
      <c r="R47" s="12">
        <v>266</v>
      </c>
      <c r="S47" s="13">
        <f t="shared" si="3"/>
        <v>430</v>
      </c>
      <c r="T47" s="13">
        <v>76</v>
      </c>
      <c r="U47" s="13">
        <v>260</v>
      </c>
      <c r="V47" s="13">
        <v>94</v>
      </c>
      <c r="W47" s="13">
        <v>11</v>
      </c>
      <c r="X47" s="14">
        <v>46199.148611111108</v>
      </c>
      <c r="Y47" s="14">
        <v>46199.454861111109</v>
      </c>
      <c r="Z47" s="13">
        <v>7</v>
      </c>
      <c r="AA47" s="15">
        <v>1993.526685836825</v>
      </c>
    </row>
    <row r="48" spans="1:27" x14ac:dyDescent="0.2">
      <c r="A48" s="2">
        <v>46200</v>
      </c>
      <c r="B48" s="3" t="s">
        <v>27</v>
      </c>
      <c r="C48" s="4">
        <f t="shared" si="2"/>
        <v>46195</v>
      </c>
      <c r="D48" s="5">
        <v>14436</v>
      </c>
      <c r="E48" s="6">
        <v>10.369</v>
      </c>
      <c r="F48" s="6">
        <v>7.94</v>
      </c>
      <c r="G48" s="5">
        <v>1460</v>
      </c>
      <c r="H48" s="7">
        <v>107</v>
      </c>
      <c r="I48" s="8">
        <v>53</v>
      </c>
      <c r="J48" s="9">
        <v>85.673611111111114</v>
      </c>
      <c r="K48" s="8">
        <v>180</v>
      </c>
      <c r="L48" s="9">
        <v>61.486238532110093</v>
      </c>
      <c r="M48" s="8">
        <v>92</v>
      </c>
      <c r="N48" s="8">
        <v>83</v>
      </c>
      <c r="O48" s="10" t="s">
        <v>60</v>
      </c>
      <c r="P48" s="11">
        <v>1</v>
      </c>
      <c r="Q48" s="11">
        <v>105.4</v>
      </c>
      <c r="R48" s="12">
        <v>1182</v>
      </c>
      <c r="S48" s="13">
        <f t="shared" si="3"/>
        <v>214</v>
      </c>
      <c r="T48" s="13">
        <v>55</v>
      </c>
      <c r="U48" s="13">
        <v>115</v>
      </c>
      <c r="V48" s="13">
        <v>44</v>
      </c>
      <c r="W48" s="13">
        <v>3</v>
      </c>
      <c r="X48" s="14">
        <v>46200.252083333333</v>
      </c>
      <c r="Y48" s="14">
        <v>46200.402777777781</v>
      </c>
      <c r="Z48" s="13">
        <v>0</v>
      </c>
      <c r="AA48" s="15">
        <v>3419.1470768530939</v>
      </c>
    </row>
    <row r="49" spans="1:27" x14ac:dyDescent="0.2">
      <c r="A49" s="2">
        <v>46201</v>
      </c>
      <c r="B49" s="3" t="s">
        <v>27</v>
      </c>
      <c r="C49" s="4">
        <f t="shared" si="2"/>
        <v>46195</v>
      </c>
      <c r="D49" s="5">
        <v>9646</v>
      </c>
      <c r="E49" s="6">
        <v>7.5709999999999997</v>
      </c>
      <c r="F49" s="6">
        <v>5.8760000000000003</v>
      </c>
      <c r="G49" s="5">
        <v>976</v>
      </c>
      <c r="H49" s="7">
        <v>165</v>
      </c>
      <c r="I49" s="8">
        <v>44</v>
      </c>
      <c r="J49" s="9">
        <v>72.604551920341393</v>
      </c>
      <c r="K49" s="8">
        <v>190</v>
      </c>
      <c r="L49" s="9"/>
      <c r="M49" s="8">
        <v>33</v>
      </c>
      <c r="N49" s="8">
        <v>83</v>
      </c>
      <c r="O49" s="10" t="s">
        <v>61</v>
      </c>
      <c r="P49" s="11">
        <v>2</v>
      </c>
      <c r="Q49" s="11">
        <v>60.633333333333333</v>
      </c>
      <c r="R49" s="12">
        <v>609.78338623046875</v>
      </c>
      <c r="S49" s="13">
        <f t="shared" si="3"/>
        <v>282</v>
      </c>
      <c r="T49" s="13">
        <v>60</v>
      </c>
      <c r="U49" s="13">
        <v>177</v>
      </c>
      <c r="V49" s="13">
        <v>45</v>
      </c>
      <c r="W49" s="13">
        <v>2</v>
      </c>
      <c r="X49" s="14">
        <v>46201.059027777781</v>
      </c>
      <c r="Y49" s="14">
        <v>46201.256249999999</v>
      </c>
      <c r="Z49" s="13">
        <v>9</v>
      </c>
      <c r="AA49" s="15">
        <v>2426.8947275711739</v>
      </c>
    </row>
    <row r="50" spans="1:27" x14ac:dyDescent="0.2">
      <c r="A50" s="2">
        <v>46202</v>
      </c>
      <c r="B50" s="3" t="s">
        <v>27</v>
      </c>
      <c r="C50" s="4">
        <f t="shared" si="2"/>
        <v>46202</v>
      </c>
      <c r="D50" s="5">
        <v>4663</v>
      </c>
      <c r="E50" s="6">
        <v>3.1219999999999999</v>
      </c>
      <c r="F50" s="6">
        <v>2.573</v>
      </c>
      <c r="G50" s="5">
        <v>173</v>
      </c>
      <c r="H50" s="7">
        <v>74</v>
      </c>
      <c r="I50" s="8">
        <v>46</v>
      </c>
      <c r="J50" s="9">
        <v>66.25</v>
      </c>
      <c r="K50" s="8">
        <v>114</v>
      </c>
      <c r="L50" s="9">
        <v>62.813829787234042</v>
      </c>
      <c r="M50" s="8">
        <v>0</v>
      </c>
      <c r="N50" s="8">
        <v>83</v>
      </c>
      <c r="O50" s="10"/>
      <c r="P50" s="11">
        <v>0</v>
      </c>
      <c r="Q50" s="11">
        <v>0</v>
      </c>
      <c r="R50" s="12">
        <v>0</v>
      </c>
      <c r="S50" s="13">
        <f t="shared" si="3"/>
        <v>423</v>
      </c>
      <c r="T50" s="13">
        <v>83</v>
      </c>
      <c r="U50" s="13">
        <v>251</v>
      </c>
      <c r="V50" s="13">
        <v>89</v>
      </c>
      <c r="W50" s="13">
        <v>33</v>
      </c>
      <c r="X50" s="14">
        <v>46202.125694444447</v>
      </c>
      <c r="Y50" s="14">
        <v>46202.442361111112</v>
      </c>
      <c r="Z50" s="13">
        <v>3</v>
      </c>
      <c r="AA50" s="15">
        <v>1787.9175211662821</v>
      </c>
    </row>
    <row r="51" spans="1:27" x14ac:dyDescent="0.2">
      <c r="A51" s="2">
        <v>46203</v>
      </c>
      <c r="B51" s="3" t="s">
        <v>27</v>
      </c>
      <c r="C51" s="4">
        <f t="shared" si="2"/>
        <v>46202</v>
      </c>
      <c r="D51" s="5">
        <v>4398</v>
      </c>
      <c r="E51" s="6">
        <v>3.0169999999999999</v>
      </c>
      <c r="F51" s="6">
        <v>2.5019999999999998</v>
      </c>
      <c r="G51" s="5">
        <v>359</v>
      </c>
      <c r="H51" s="7">
        <v>118</v>
      </c>
      <c r="I51" s="8">
        <v>41</v>
      </c>
      <c r="J51" s="9">
        <v>59.984989278055757</v>
      </c>
      <c r="K51" s="8">
        <v>116</v>
      </c>
      <c r="L51" s="9">
        <v>47.163017031630169</v>
      </c>
      <c r="M51" s="8">
        <v>0</v>
      </c>
      <c r="N51" s="8">
        <v>83</v>
      </c>
      <c r="O51" s="10" t="s">
        <v>62</v>
      </c>
      <c r="P51" s="11">
        <v>1</v>
      </c>
      <c r="Q51" s="11">
        <v>48.35</v>
      </c>
      <c r="R51" s="12">
        <v>213</v>
      </c>
      <c r="S51" s="13">
        <f t="shared" si="3"/>
        <v>421</v>
      </c>
      <c r="T51" s="13">
        <v>63</v>
      </c>
      <c r="U51" s="13">
        <v>270</v>
      </c>
      <c r="V51" s="13">
        <v>88</v>
      </c>
      <c r="W51" s="13">
        <v>10</v>
      </c>
      <c r="X51" s="14">
        <v>46203.111111111109</v>
      </c>
      <c r="Y51" s="14">
        <v>46203.410416666673</v>
      </c>
      <c r="Z51" s="13">
        <v>1</v>
      </c>
      <c r="AA51" s="15">
        <v>1996.5158095633869</v>
      </c>
    </row>
    <row r="52" spans="1:27" x14ac:dyDescent="0.2">
      <c r="A52" s="2">
        <v>46204</v>
      </c>
      <c r="B52" s="3" t="s">
        <v>27</v>
      </c>
      <c r="C52" s="4">
        <f t="shared" si="2"/>
        <v>46202</v>
      </c>
      <c r="D52" s="5">
        <v>21941</v>
      </c>
      <c r="E52" s="6">
        <v>18.509</v>
      </c>
      <c r="F52" s="6">
        <v>13.855</v>
      </c>
      <c r="G52" s="5">
        <v>1485</v>
      </c>
      <c r="H52" s="7">
        <v>233</v>
      </c>
      <c r="I52" s="8">
        <v>42</v>
      </c>
      <c r="J52" s="9">
        <v>70.332175121612224</v>
      </c>
      <c r="K52" s="8">
        <v>168</v>
      </c>
      <c r="L52" s="9">
        <v>45.470588235294123</v>
      </c>
      <c r="M52" s="8">
        <v>102</v>
      </c>
      <c r="N52" s="8">
        <v>80</v>
      </c>
      <c r="O52" s="10" t="s">
        <v>63</v>
      </c>
      <c r="P52" s="11">
        <v>1</v>
      </c>
      <c r="Q52" s="11">
        <v>104.06666666666671</v>
      </c>
      <c r="R52" s="12">
        <v>1257.480224609375</v>
      </c>
      <c r="S52" s="13">
        <f t="shared" si="3"/>
        <v>231</v>
      </c>
      <c r="T52" s="13">
        <v>59</v>
      </c>
      <c r="U52" s="13">
        <v>125</v>
      </c>
      <c r="V52" s="13">
        <v>47</v>
      </c>
      <c r="W52" s="13">
        <v>3</v>
      </c>
      <c r="X52" s="14">
        <v>46204.006944444453</v>
      </c>
      <c r="Y52" s="14">
        <v>46204.169444444437</v>
      </c>
      <c r="Z52" s="13">
        <v>6</v>
      </c>
      <c r="AA52" s="15">
        <v>3188.9458021734749</v>
      </c>
    </row>
    <row r="53" spans="1:27" x14ac:dyDescent="0.2">
      <c r="A53" s="2">
        <v>46205</v>
      </c>
      <c r="B53" s="3" t="s">
        <v>27</v>
      </c>
      <c r="C53" s="4">
        <f t="shared" si="2"/>
        <v>46202</v>
      </c>
      <c r="D53" s="5">
        <v>3909</v>
      </c>
      <c r="E53" s="6">
        <v>2.6779999999999999</v>
      </c>
      <c r="F53" s="6">
        <v>2.2010000000000001</v>
      </c>
      <c r="G53" s="5">
        <v>321</v>
      </c>
      <c r="H53" s="7">
        <v>104</v>
      </c>
      <c r="I53" s="8">
        <v>41</v>
      </c>
      <c r="J53" s="9">
        <v>62.038322487346349</v>
      </c>
      <c r="K53" s="8">
        <v>120</v>
      </c>
      <c r="L53" s="9">
        <v>49.542056074766357</v>
      </c>
      <c r="M53" s="8">
        <v>0</v>
      </c>
      <c r="N53" s="8">
        <v>80</v>
      </c>
      <c r="O53" s="10" t="s">
        <v>38</v>
      </c>
      <c r="P53" s="11">
        <v>1</v>
      </c>
      <c r="Q53" s="11">
        <v>36.700000000000003</v>
      </c>
      <c r="R53" s="12">
        <v>179</v>
      </c>
      <c r="S53" s="13">
        <f t="shared" si="3"/>
        <v>417</v>
      </c>
      <c r="T53" s="13">
        <v>75</v>
      </c>
      <c r="U53" s="13">
        <v>227</v>
      </c>
      <c r="V53" s="13">
        <v>115</v>
      </c>
      <c r="W53" s="13">
        <v>9</v>
      </c>
      <c r="X53" s="14">
        <v>46205.095138888893</v>
      </c>
      <c r="Y53" s="14">
        <v>46205.390972222223</v>
      </c>
      <c r="Z53" s="13">
        <v>0</v>
      </c>
      <c r="AA53" s="15">
        <v>1940.8364127768989</v>
      </c>
    </row>
    <row r="54" spans="1:27" x14ac:dyDescent="0.2">
      <c r="A54" s="2">
        <v>46206</v>
      </c>
      <c r="B54" s="3" t="s">
        <v>27</v>
      </c>
      <c r="C54" s="4">
        <f t="shared" si="2"/>
        <v>46202</v>
      </c>
      <c r="D54" s="5">
        <v>1833</v>
      </c>
      <c r="E54" s="6">
        <v>1.2070000000000001</v>
      </c>
      <c r="F54" s="6">
        <v>1.02</v>
      </c>
      <c r="G54" s="5">
        <v>95</v>
      </c>
      <c r="H54" s="7">
        <v>486</v>
      </c>
      <c r="I54" s="8">
        <v>41</v>
      </c>
      <c r="J54" s="9">
        <v>57.228193146417453</v>
      </c>
      <c r="K54" s="8">
        <v>108</v>
      </c>
      <c r="L54" s="9">
        <v>46.631449631449627</v>
      </c>
      <c r="M54" s="8">
        <v>0</v>
      </c>
      <c r="N54" s="8">
        <v>80</v>
      </c>
      <c r="O54" s="10"/>
      <c r="P54" s="11">
        <v>0</v>
      </c>
      <c r="Q54" s="11">
        <v>0</v>
      </c>
      <c r="R54" s="12">
        <v>0</v>
      </c>
      <c r="S54" s="13">
        <f t="shared" si="3"/>
        <v>476</v>
      </c>
      <c r="T54" s="13">
        <v>72</v>
      </c>
      <c r="U54" s="13">
        <v>292</v>
      </c>
      <c r="V54" s="13">
        <v>112</v>
      </c>
      <c r="W54" s="13">
        <v>12</v>
      </c>
      <c r="X54" s="14">
        <v>46206.10833333333</v>
      </c>
      <c r="Y54" s="14">
        <v>46206.447222222218</v>
      </c>
      <c r="Z54" s="13">
        <v>7</v>
      </c>
      <c r="AA54" s="15">
        <v>1668.698523761054</v>
      </c>
    </row>
    <row r="55" spans="1:27" x14ac:dyDescent="0.2">
      <c r="A55" s="2">
        <v>46207</v>
      </c>
      <c r="B55" s="3" t="s">
        <v>27</v>
      </c>
      <c r="C55" s="4">
        <f t="shared" si="2"/>
        <v>46202</v>
      </c>
      <c r="D55" s="5">
        <v>2064</v>
      </c>
      <c r="E55" s="6">
        <v>1.415</v>
      </c>
      <c r="F55" s="6">
        <v>1.2270000000000001</v>
      </c>
      <c r="G55" s="5">
        <v>102</v>
      </c>
      <c r="H55" s="7">
        <v>69</v>
      </c>
      <c r="I55" s="8">
        <v>40</v>
      </c>
      <c r="J55" s="9">
        <v>61.259206798866863</v>
      </c>
      <c r="K55" s="8">
        <v>121</v>
      </c>
      <c r="L55" s="9">
        <v>44.588495575221238</v>
      </c>
      <c r="M55" s="8">
        <v>0</v>
      </c>
      <c r="N55" s="8">
        <v>80</v>
      </c>
      <c r="O55" s="10"/>
      <c r="P55" s="11">
        <v>0</v>
      </c>
      <c r="Q55" s="11">
        <v>0</v>
      </c>
      <c r="R55" s="12">
        <v>0</v>
      </c>
      <c r="S55" s="13">
        <f t="shared" si="3"/>
        <v>331</v>
      </c>
      <c r="T55" s="13">
        <v>54</v>
      </c>
      <c r="U55" s="13">
        <v>185</v>
      </c>
      <c r="V55" s="13">
        <v>92</v>
      </c>
      <c r="W55" s="13">
        <v>5</v>
      </c>
      <c r="X55" s="14">
        <v>46207.290277777778</v>
      </c>
      <c r="Y55" s="14">
        <v>46207.523611111108</v>
      </c>
      <c r="Z55" s="13">
        <v>9</v>
      </c>
      <c r="AA55" s="15">
        <v>1678.429827082824</v>
      </c>
    </row>
    <row r="56" spans="1:27" x14ac:dyDescent="0.2">
      <c r="A56" s="2">
        <v>46208</v>
      </c>
      <c r="B56" s="3" t="s">
        <v>27</v>
      </c>
      <c r="C56" s="4">
        <f t="shared" si="2"/>
        <v>46202</v>
      </c>
      <c r="D56" s="5">
        <v>23910</v>
      </c>
      <c r="E56" s="6">
        <v>21.305</v>
      </c>
      <c r="F56" s="6">
        <v>15.843999999999999</v>
      </c>
      <c r="G56" s="5">
        <v>1941</v>
      </c>
      <c r="H56" s="7">
        <v>258</v>
      </c>
      <c r="I56" s="8">
        <v>41</v>
      </c>
      <c r="J56" s="9">
        <v>77.56452775775054</v>
      </c>
      <c r="K56" s="8">
        <v>175</v>
      </c>
      <c r="L56" s="9"/>
      <c r="M56" s="8">
        <v>134</v>
      </c>
      <c r="N56" s="8">
        <v>80</v>
      </c>
      <c r="O56" s="10" t="s">
        <v>64</v>
      </c>
      <c r="P56" s="11">
        <v>1</v>
      </c>
      <c r="Q56" s="11">
        <v>136.43333333333331</v>
      </c>
      <c r="R56" s="12">
        <v>1791.59033203125</v>
      </c>
      <c r="S56" s="13">
        <f t="shared" si="3"/>
        <v>205</v>
      </c>
      <c r="T56" s="13">
        <v>33</v>
      </c>
      <c r="U56" s="13">
        <v>129</v>
      </c>
      <c r="V56" s="13">
        <v>43</v>
      </c>
      <c r="W56" s="13">
        <v>234</v>
      </c>
      <c r="X56" s="14">
        <v>46207.873611111107</v>
      </c>
      <c r="Y56" s="14">
        <v>46208.178472222222</v>
      </c>
      <c r="Z56" s="13">
        <v>9</v>
      </c>
      <c r="AA56" s="15">
        <v>3586.327003753026</v>
      </c>
    </row>
    <row r="57" spans="1:27" x14ac:dyDescent="0.2">
      <c r="A57" s="2">
        <v>46209</v>
      </c>
      <c r="B57" s="3" t="s">
        <v>27</v>
      </c>
      <c r="C57" s="4">
        <f t="shared" si="2"/>
        <v>46209</v>
      </c>
      <c r="D57" s="5">
        <v>2670</v>
      </c>
      <c r="E57" s="6">
        <v>1.7609999999999999</v>
      </c>
      <c r="F57" s="6">
        <v>1.542</v>
      </c>
      <c r="G57" s="5">
        <v>391</v>
      </c>
      <c r="H57" s="7">
        <v>65</v>
      </c>
      <c r="I57" s="8">
        <v>40</v>
      </c>
      <c r="J57" s="9">
        <v>60.564697609001414</v>
      </c>
      <c r="K57" s="8">
        <v>119</v>
      </c>
      <c r="L57" s="9">
        <v>50.111111111111107</v>
      </c>
      <c r="M57" s="8">
        <v>0</v>
      </c>
      <c r="N57" s="8">
        <v>80</v>
      </c>
      <c r="O57" s="10" t="s">
        <v>65</v>
      </c>
      <c r="P57" s="11">
        <v>1</v>
      </c>
      <c r="Q57" s="11">
        <v>76.683333333333337</v>
      </c>
      <c r="R57" s="12">
        <v>300</v>
      </c>
      <c r="S57" s="13">
        <f t="shared" si="3"/>
        <v>550</v>
      </c>
      <c r="T57" s="13">
        <v>79</v>
      </c>
      <c r="U57" s="13">
        <v>295</v>
      </c>
      <c r="V57" s="13">
        <v>176</v>
      </c>
      <c r="W57" s="13">
        <v>7</v>
      </c>
      <c r="X57" s="14">
        <v>46209.128472222219</v>
      </c>
      <c r="Y57" s="14">
        <v>46209.515277777777</v>
      </c>
      <c r="Z57" s="13">
        <v>0</v>
      </c>
      <c r="AA57" s="15">
        <v>2013.482510255951</v>
      </c>
    </row>
    <row r="58" spans="1:27" x14ac:dyDescent="0.2">
      <c r="A58" s="2">
        <v>46210</v>
      </c>
      <c r="B58" s="3" t="s">
        <v>27</v>
      </c>
      <c r="C58" s="4">
        <f t="shared" si="2"/>
        <v>46209</v>
      </c>
      <c r="D58" s="5">
        <v>2535</v>
      </c>
      <c r="E58" s="6">
        <v>1.7470000000000001</v>
      </c>
      <c r="F58" s="6">
        <v>1.4450000000000001</v>
      </c>
      <c r="G58" s="5">
        <v>122</v>
      </c>
      <c r="H58" s="7">
        <v>43</v>
      </c>
      <c r="I58" s="8">
        <v>44</v>
      </c>
      <c r="J58" s="9">
        <v>59.344235486508587</v>
      </c>
      <c r="K58" s="8">
        <v>116</v>
      </c>
      <c r="L58" s="9">
        <v>48.990147783251231</v>
      </c>
      <c r="M58" s="8">
        <v>0</v>
      </c>
      <c r="N58" s="8">
        <v>80</v>
      </c>
      <c r="O58" s="10"/>
      <c r="P58" s="11">
        <v>0</v>
      </c>
      <c r="Q58" s="11">
        <v>0</v>
      </c>
      <c r="R58" s="12">
        <v>0</v>
      </c>
      <c r="S58" s="13">
        <f t="shared" si="3"/>
        <v>401</v>
      </c>
      <c r="T58" s="13">
        <v>59</v>
      </c>
      <c r="U58" s="13">
        <v>248</v>
      </c>
      <c r="V58" s="13">
        <v>94</v>
      </c>
      <c r="W58" s="13">
        <v>4</v>
      </c>
      <c r="X58" s="14">
        <v>46210.15902777778</v>
      </c>
      <c r="Y58" s="14">
        <v>46210.44027777778</v>
      </c>
      <c r="Z58" s="13">
        <v>0</v>
      </c>
      <c r="AA58" s="15">
        <v>1698.2715754142239</v>
      </c>
    </row>
    <row r="59" spans="1:27" x14ac:dyDescent="0.2">
      <c r="A59" s="2">
        <v>46211</v>
      </c>
      <c r="B59" s="3" t="s">
        <v>27</v>
      </c>
      <c r="C59" s="4">
        <f t="shared" si="2"/>
        <v>46209</v>
      </c>
      <c r="D59" s="5">
        <v>9899</v>
      </c>
      <c r="E59" s="6">
        <v>6.9930000000000003</v>
      </c>
      <c r="F59" s="6">
        <v>5.4390000000000001</v>
      </c>
      <c r="G59" s="5">
        <v>620</v>
      </c>
      <c r="H59" s="7">
        <v>131</v>
      </c>
      <c r="I59" s="8">
        <v>43</v>
      </c>
      <c r="J59" s="9">
        <v>61.338194444444447</v>
      </c>
      <c r="K59" s="8">
        <v>128</v>
      </c>
      <c r="L59" s="9">
        <v>46.558024691358028</v>
      </c>
      <c r="M59" s="8">
        <v>0</v>
      </c>
      <c r="N59" s="8">
        <v>80</v>
      </c>
      <c r="O59" s="10" t="s">
        <v>54</v>
      </c>
      <c r="P59" s="11">
        <v>1</v>
      </c>
      <c r="Q59" s="11">
        <v>60.083333333333343</v>
      </c>
      <c r="R59" s="12">
        <v>291</v>
      </c>
      <c r="S59" s="13">
        <f t="shared" si="3"/>
        <v>516</v>
      </c>
      <c r="T59" s="13">
        <v>94</v>
      </c>
      <c r="U59" s="13">
        <v>295</v>
      </c>
      <c r="V59" s="13">
        <v>127</v>
      </c>
      <c r="W59" s="13">
        <v>11</v>
      </c>
      <c r="X59" s="14">
        <v>46211.11041666667</v>
      </c>
      <c r="Y59" s="14">
        <v>46211.476388888892</v>
      </c>
      <c r="Z59" s="13">
        <v>0</v>
      </c>
      <c r="AA59" s="15">
        <v>2308.7318250311532</v>
      </c>
    </row>
    <row r="60" spans="1:27" x14ac:dyDescent="0.2">
      <c r="A60" s="2">
        <v>46212</v>
      </c>
      <c r="B60" s="3" t="s">
        <v>27</v>
      </c>
      <c r="C60" s="4">
        <f t="shared" si="2"/>
        <v>46209</v>
      </c>
      <c r="D60" s="5">
        <v>6074</v>
      </c>
      <c r="E60" s="6">
        <v>4.2130000000000001</v>
      </c>
      <c r="F60" s="6">
        <v>3.3530000000000002</v>
      </c>
      <c r="G60" s="5">
        <v>224</v>
      </c>
      <c r="H60" s="7">
        <v>131</v>
      </c>
      <c r="I60" s="8">
        <v>40</v>
      </c>
      <c r="J60" s="9">
        <v>56.872570194384451</v>
      </c>
      <c r="K60" s="8">
        <v>128</v>
      </c>
      <c r="L60" s="9">
        <v>43.213032581453632</v>
      </c>
      <c r="M60" s="8">
        <v>0</v>
      </c>
      <c r="N60" s="8">
        <v>80</v>
      </c>
      <c r="O60" s="10"/>
      <c r="P60" s="11">
        <v>0</v>
      </c>
      <c r="Q60" s="11">
        <v>0</v>
      </c>
      <c r="R60" s="12">
        <v>0</v>
      </c>
      <c r="S60" s="13">
        <f t="shared" si="3"/>
        <v>404</v>
      </c>
      <c r="T60" s="13">
        <v>63</v>
      </c>
      <c r="U60" s="13">
        <v>253</v>
      </c>
      <c r="V60" s="13">
        <v>88</v>
      </c>
      <c r="W60" s="13">
        <v>6</v>
      </c>
      <c r="X60" s="14">
        <v>46212.145833333343</v>
      </c>
      <c r="Y60" s="14">
        <v>46212.430555555547</v>
      </c>
      <c r="Z60" s="13">
        <v>0</v>
      </c>
      <c r="AA60" s="15">
        <v>1847.3585124520689</v>
      </c>
    </row>
    <row r="61" spans="1:27" x14ac:dyDescent="0.2">
      <c r="A61" s="2">
        <v>46213</v>
      </c>
      <c r="B61" s="3" t="s">
        <v>27</v>
      </c>
      <c r="C61" s="4">
        <f t="shared" si="2"/>
        <v>46209</v>
      </c>
      <c r="D61" s="5">
        <v>9878</v>
      </c>
      <c r="E61" s="6">
        <v>7.0460000000000003</v>
      </c>
      <c r="F61" s="6">
        <v>5.4610000000000003</v>
      </c>
      <c r="G61" s="5">
        <v>555</v>
      </c>
      <c r="H61" s="7">
        <v>208</v>
      </c>
      <c r="I61" s="8">
        <v>43</v>
      </c>
      <c r="J61" s="9">
        <v>62.139800285306713</v>
      </c>
      <c r="K61" s="8">
        <v>121</v>
      </c>
      <c r="L61" s="9">
        <v>47.362537764350463</v>
      </c>
      <c r="M61" s="8">
        <v>0</v>
      </c>
      <c r="N61" s="8">
        <v>80</v>
      </c>
      <c r="O61" s="10" t="s">
        <v>66</v>
      </c>
      <c r="P61" s="11">
        <v>1</v>
      </c>
      <c r="Q61" s="11">
        <v>49.31666666666667</v>
      </c>
      <c r="R61" s="12">
        <v>247</v>
      </c>
      <c r="S61" s="13">
        <f t="shared" si="3"/>
        <v>347</v>
      </c>
      <c r="T61" s="13">
        <v>76</v>
      </c>
      <c r="U61" s="13">
        <v>173</v>
      </c>
      <c r="V61" s="13">
        <v>98</v>
      </c>
      <c r="W61" s="13">
        <v>10</v>
      </c>
      <c r="X61" s="14">
        <v>46213.200694444437</v>
      </c>
      <c r="Y61" s="14">
        <v>46213.448611111111</v>
      </c>
      <c r="Z61" s="13">
        <v>0</v>
      </c>
      <c r="AA61" s="15">
        <v>2262.4503356959849</v>
      </c>
    </row>
    <row r="62" spans="1:27" x14ac:dyDescent="0.2">
      <c r="A62" s="2">
        <v>46214</v>
      </c>
      <c r="B62" s="3" t="s">
        <v>27</v>
      </c>
      <c r="C62" s="4">
        <f t="shared" si="2"/>
        <v>46209</v>
      </c>
      <c r="D62" s="5">
        <v>4768</v>
      </c>
      <c r="E62" s="6">
        <v>3.2879999999999998</v>
      </c>
      <c r="F62" s="6">
        <v>2.6230000000000002</v>
      </c>
      <c r="G62" s="5">
        <v>390</v>
      </c>
      <c r="H62" s="7">
        <v>74</v>
      </c>
      <c r="I62" s="8">
        <v>40</v>
      </c>
      <c r="J62" s="9">
        <v>63.156477438136832</v>
      </c>
      <c r="K62" s="8">
        <v>127</v>
      </c>
      <c r="L62" s="9">
        <v>46.772413793103453</v>
      </c>
      <c r="M62" s="8">
        <v>0</v>
      </c>
      <c r="N62" s="8">
        <v>80</v>
      </c>
      <c r="O62" s="10" t="s">
        <v>46</v>
      </c>
      <c r="P62" s="11">
        <v>1</v>
      </c>
      <c r="Q62" s="11">
        <v>73.349999999999994</v>
      </c>
      <c r="R62" s="12">
        <v>227</v>
      </c>
      <c r="S62" s="13">
        <f t="shared" si="3"/>
        <v>436</v>
      </c>
      <c r="T62" s="13">
        <v>58</v>
      </c>
      <c r="U62" s="13">
        <v>280</v>
      </c>
      <c r="V62" s="13">
        <v>98</v>
      </c>
      <c r="W62" s="13">
        <v>5</v>
      </c>
      <c r="X62" s="14">
        <v>46214.24722222222</v>
      </c>
      <c r="Y62" s="14">
        <v>46214.553472222222</v>
      </c>
      <c r="Z62" s="13">
        <v>0</v>
      </c>
      <c r="AA62" s="15">
        <v>2026.5471900643449</v>
      </c>
    </row>
    <row r="63" spans="1:27" x14ac:dyDescent="0.2">
      <c r="A63" s="2">
        <v>46215</v>
      </c>
      <c r="B63" s="3" t="s">
        <v>27</v>
      </c>
      <c r="C63" s="4">
        <f t="shared" si="2"/>
        <v>46209</v>
      </c>
      <c r="D63" s="5">
        <v>2319</v>
      </c>
      <c r="E63" s="6">
        <v>1.542</v>
      </c>
      <c r="F63" s="6">
        <v>1.323</v>
      </c>
      <c r="G63" s="5">
        <v>132</v>
      </c>
      <c r="H63" s="7">
        <v>49</v>
      </c>
      <c r="I63" s="8">
        <v>42</v>
      </c>
      <c r="J63" s="9">
        <v>57.766666666666673</v>
      </c>
      <c r="K63" s="8">
        <v>101</v>
      </c>
      <c r="L63" s="9">
        <v>50.032407407407398</v>
      </c>
      <c r="M63" s="8">
        <v>0</v>
      </c>
      <c r="N63" s="8">
        <v>80</v>
      </c>
      <c r="O63" s="10"/>
      <c r="P63" s="11">
        <v>0</v>
      </c>
      <c r="Q63" s="11">
        <v>0</v>
      </c>
      <c r="R63" s="12">
        <v>0</v>
      </c>
      <c r="S63" s="13">
        <f t="shared" si="3"/>
        <v>466</v>
      </c>
      <c r="T63" s="13">
        <v>61</v>
      </c>
      <c r="U63" s="13">
        <v>276</v>
      </c>
      <c r="V63" s="13">
        <v>129</v>
      </c>
      <c r="W63" s="13">
        <v>84</v>
      </c>
      <c r="X63" s="14">
        <v>46215.40347222222</v>
      </c>
      <c r="Y63" s="14">
        <v>46215.785416666673</v>
      </c>
      <c r="Z63" s="13">
        <v>0</v>
      </c>
      <c r="AA63" s="15">
        <v>1689.1721749055559</v>
      </c>
    </row>
    <row r="64" spans="1:27" x14ac:dyDescent="0.2">
      <c r="A64" s="2">
        <v>46216</v>
      </c>
      <c r="B64" s="3" t="s">
        <v>27</v>
      </c>
      <c r="C64" s="4">
        <f t="shared" si="2"/>
        <v>46216</v>
      </c>
      <c r="D64" s="5">
        <v>6781</v>
      </c>
      <c r="E64" s="6">
        <v>4.8390000000000004</v>
      </c>
      <c r="F64" s="6">
        <v>3.8220000000000001</v>
      </c>
      <c r="G64" s="5">
        <v>465</v>
      </c>
      <c r="H64" s="7">
        <v>108</v>
      </c>
      <c r="I64" s="8">
        <v>40</v>
      </c>
      <c r="J64" s="9">
        <v>56.850734725444703</v>
      </c>
      <c r="K64" s="8">
        <v>132</v>
      </c>
      <c r="L64" s="9">
        <v>43.735159817351601</v>
      </c>
      <c r="M64" s="8">
        <v>0</v>
      </c>
      <c r="N64" s="8">
        <v>80</v>
      </c>
      <c r="O64" s="10" t="s">
        <v>62</v>
      </c>
      <c r="P64" s="11">
        <v>1</v>
      </c>
      <c r="Q64" s="11">
        <v>48.35</v>
      </c>
      <c r="R64" s="12">
        <v>252</v>
      </c>
      <c r="S64" s="13">
        <f t="shared" si="3"/>
        <v>502</v>
      </c>
      <c r="T64" s="13">
        <v>99</v>
      </c>
      <c r="U64" s="13">
        <v>263</v>
      </c>
      <c r="V64" s="13">
        <v>140</v>
      </c>
      <c r="W64" s="13">
        <v>2</v>
      </c>
      <c r="X64" s="14">
        <v>46216.210416666669</v>
      </c>
      <c r="Y64" s="14">
        <v>46216.560416666667</v>
      </c>
      <c r="Z64" s="13">
        <v>0</v>
      </c>
      <c r="AA64" s="15">
        <v>2137.142198376273</v>
      </c>
    </row>
    <row r="65" spans="1:27" x14ac:dyDescent="0.2">
      <c r="A65" s="2">
        <v>46217</v>
      </c>
      <c r="B65" s="3" t="s">
        <v>27</v>
      </c>
      <c r="C65" s="4">
        <f t="shared" si="2"/>
        <v>46216</v>
      </c>
      <c r="D65" s="5">
        <v>3303</v>
      </c>
      <c r="E65" s="6">
        <v>2.2069999999999999</v>
      </c>
      <c r="F65" s="6">
        <v>1.8620000000000001</v>
      </c>
      <c r="G65" s="5">
        <v>448</v>
      </c>
      <c r="H65" s="7">
        <v>134</v>
      </c>
      <c r="I65" s="8">
        <v>40</v>
      </c>
      <c r="J65" s="9">
        <v>58.607719298245613</v>
      </c>
      <c r="K65" s="8">
        <v>136</v>
      </c>
      <c r="L65" s="9">
        <v>44.120654396728007</v>
      </c>
      <c r="M65" s="8">
        <v>0</v>
      </c>
      <c r="N65" s="8">
        <v>80</v>
      </c>
      <c r="O65" s="10" t="s">
        <v>67</v>
      </c>
      <c r="P65" s="11">
        <v>1</v>
      </c>
      <c r="Q65" s="11">
        <v>68.25</v>
      </c>
      <c r="R65" s="12">
        <v>325</v>
      </c>
      <c r="S65" s="13">
        <f t="shared" si="3"/>
        <v>492</v>
      </c>
      <c r="T65" s="13">
        <v>59</v>
      </c>
      <c r="U65" s="13">
        <v>271</v>
      </c>
      <c r="V65" s="13">
        <v>162</v>
      </c>
      <c r="W65" s="13">
        <v>49</v>
      </c>
      <c r="X65" s="14">
        <v>46217.20416666667</v>
      </c>
      <c r="Y65" s="14">
        <v>46217.579861111109</v>
      </c>
      <c r="Z65" s="13">
        <v>7</v>
      </c>
      <c r="AA65" s="15">
        <v>2065.942459762502</v>
      </c>
    </row>
    <row r="66" spans="1:27" x14ac:dyDescent="0.2">
      <c r="A66" s="2">
        <v>46218</v>
      </c>
      <c r="B66" s="3" t="s">
        <v>27</v>
      </c>
      <c r="C66" s="4">
        <f t="shared" ref="C66:C97" si="4">A66-WEEKDAY(A66,3)</f>
        <v>46216</v>
      </c>
      <c r="D66" s="5">
        <v>3084</v>
      </c>
      <c r="E66" s="6">
        <v>2.0649999999999999</v>
      </c>
      <c r="F66" s="6">
        <v>1.7090000000000001</v>
      </c>
      <c r="G66" s="5">
        <v>129</v>
      </c>
      <c r="H66" s="7">
        <v>67</v>
      </c>
      <c r="I66" s="8">
        <v>44</v>
      </c>
      <c r="J66" s="9">
        <v>63.156294200848663</v>
      </c>
      <c r="K66" s="8">
        <v>113</v>
      </c>
      <c r="L66" s="9">
        <v>54.581545064377693</v>
      </c>
      <c r="M66" s="8">
        <v>0</v>
      </c>
      <c r="N66" s="8">
        <v>80</v>
      </c>
      <c r="O66" s="10"/>
      <c r="P66" s="11">
        <v>0</v>
      </c>
      <c r="Q66" s="11">
        <v>0</v>
      </c>
      <c r="R66" s="12">
        <v>0</v>
      </c>
      <c r="S66" s="13">
        <f t="shared" ref="S66:S97" si="5">IF(COUNT(T66:V66)=3,T66+U66+V66,"")</f>
        <v>463</v>
      </c>
      <c r="T66" s="13">
        <v>95</v>
      </c>
      <c r="U66" s="13">
        <v>249</v>
      </c>
      <c r="V66" s="13">
        <v>119</v>
      </c>
      <c r="W66" s="13">
        <v>3</v>
      </c>
      <c r="X66" s="14">
        <v>46218.256249999999</v>
      </c>
      <c r="Y66" s="14">
        <v>46218.579861111109</v>
      </c>
      <c r="Z66" s="13">
        <v>0</v>
      </c>
      <c r="AA66" s="15">
        <v>1721.3992183737539</v>
      </c>
    </row>
    <row r="67" spans="1:27" x14ac:dyDescent="0.2">
      <c r="A67" s="2">
        <v>46219</v>
      </c>
      <c r="B67" s="3" t="s">
        <v>27</v>
      </c>
      <c r="C67" s="4">
        <f t="shared" si="4"/>
        <v>46216</v>
      </c>
      <c r="D67" s="5">
        <v>3321</v>
      </c>
      <c r="E67" s="6">
        <v>2.1989999999999998</v>
      </c>
      <c r="F67" s="6">
        <v>1.8660000000000001</v>
      </c>
      <c r="G67" s="5">
        <v>476</v>
      </c>
      <c r="H67" s="7">
        <v>93</v>
      </c>
      <c r="I67" s="8">
        <v>44</v>
      </c>
      <c r="J67" s="9">
        <v>64.41889985895628</v>
      </c>
      <c r="K67" s="8">
        <v>134</v>
      </c>
      <c r="L67" s="9">
        <v>49.4822695035461</v>
      </c>
      <c r="M67" s="8">
        <v>0</v>
      </c>
      <c r="N67" s="8">
        <v>80</v>
      </c>
      <c r="O67" s="10" t="s">
        <v>68</v>
      </c>
      <c r="P67" s="11">
        <v>1</v>
      </c>
      <c r="Q67" s="11">
        <v>70.983333333333334</v>
      </c>
      <c r="R67" s="12">
        <v>365</v>
      </c>
      <c r="S67" s="13">
        <f t="shared" si="5"/>
        <v>492</v>
      </c>
      <c r="T67" s="13">
        <v>80</v>
      </c>
      <c r="U67" s="13">
        <v>300</v>
      </c>
      <c r="V67" s="13">
        <v>112</v>
      </c>
      <c r="W67" s="13">
        <v>8</v>
      </c>
      <c r="X67" s="14">
        <v>46219.20208333333</v>
      </c>
      <c r="Y67" s="14">
        <v>46219.549305555563</v>
      </c>
      <c r="Z67" s="13">
        <v>0</v>
      </c>
      <c r="AA67" s="15">
        <v>2107.9705844080659</v>
      </c>
    </row>
    <row r="68" spans="1:27" x14ac:dyDescent="0.2">
      <c r="A68" s="2">
        <v>46220</v>
      </c>
      <c r="B68" s="3" t="s">
        <v>27</v>
      </c>
      <c r="C68" s="4">
        <f t="shared" si="4"/>
        <v>46216</v>
      </c>
      <c r="D68" s="5">
        <v>13579</v>
      </c>
      <c r="E68" s="6">
        <v>10.993</v>
      </c>
      <c r="F68" s="6">
        <v>8.4009999999999998</v>
      </c>
      <c r="G68" s="5">
        <v>910</v>
      </c>
      <c r="H68" s="7">
        <v>258</v>
      </c>
      <c r="I68" s="8">
        <v>43</v>
      </c>
      <c r="J68" s="9">
        <v>71.216718266253864</v>
      </c>
      <c r="K68" s="8">
        <v>184</v>
      </c>
      <c r="L68" s="9">
        <v>48.082474226804123</v>
      </c>
      <c r="M68" s="8">
        <v>60</v>
      </c>
      <c r="N68" s="8">
        <v>80</v>
      </c>
      <c r="O68" s="10" t="s">
        <v>69</v>
      </c>
      <c r="P68" s="11">
        <v>2</v>
      </c>
      <c r="Q68" s="11">
        <v>58.95</v>
      </c>
      <c r="R68" s="12">
        <v>375.25956726074219</v>
      </c>
      <c r="S68" s="13">
        <f t="shared" si="5"/>
        <v>232</v>
      </c>
      <c r="T68" s="13">
        <v>56</v>
      </c>
      <c r="U68" s="13">
        <v>144</v>
      </c>
      <c r="V68" s="13">
        <v>32</v>
      </c>
      <c r="W68" s="13">
        <v>7</v>
      </c>
      <c r="X68" s="14">
        <v>46220.102777777778</v>
      </c>
      <c r="Y68" s="14">
        <v>46220.268750000003</v>
      </c>
      <c r="Z68" s="13">
        <v>17</v>
      </c>
      <c r="AA68" s="15">
        <v>2495.6072456929901</v>
      </c>
    </row>
    <row r="69" spans="1:27" x14ac:dyDescent="0.2">
      <c r="A69" s="2">
        <v>46221</v>
      </c>
      <c r="B69" s="3" t="s">
        <v>27</v>
      </c>
      <c r="C69" s="4">
        <f t="shared" si="4"/>
        <v>46216</v>
      </c>
      <c r="D69" s="5">
        <v>10786</v>
      </c>
      <c r="E69" s="6">
        <v>7.6340000000000003</v>
      </c>
      <c r="F69" s="6">
        <v>6.0949999999999998</v>
      </c>
      <c r="G69" s="5">
        <v>1330</v>
      </c>
      <c r="H69" s="7">
        <v>182</v>
      </c>
      <c r="I69" s="8">
        <v>41</v>
      </c>
      <c r="J69" s="9">
        <v>70.286910197869105</v>
      </c>
      <c r="K69" s="8">
        <v>180</v>
      </c>
      <c r="L69" s="9">
        <v>47.27956989247312</v>
      </c>
      <c r="M69" s="8">
        <v>86</v>
      </c>
      <c r="N69" s="8">
        <v>80</v>
      </c>
      <c r="O69" s="10" t="s">
        <v>70</v>
      </c>
      <c r="P69" s="11">
        <v>1</v>
      </c>
      <c r="Q69" s="11">
        <v>94.25</v>
      </c>
      <c r="R69" s="12">
        <v>1123</v>
      </c>
      <c r="S69" s="13">
        <f t="shared" si="5"/>
        <v>386</v>
      </c>
      <c r="T69" s="13">
        <v>53</v>
      </c>
      <c r="U69" s="13">
        <v>235</v>
      </c>
      <c r="V69" s="13">
        <v>98</v>
      </c>
      <c r="W69" s="13">
        <v>6</v>
      </c>
      <c r="X69" s="14">
        <v>46221.20416666667</v>
      </c>
      <c r="Y69" s="14">
        <v>46221.476388888892</v>
      </c>
      <c r="Z69" s="13">
        <v>0</v>
      </c>
      <c r="AA69" s="15">
        <v>3204.5110431252779</v>
      </c>
    </row>
    <row r="70" spans="1:27" x14ac:dyDescent="0.2">
      <c r="A70" s="2">
        <v>46222</v>
      </c>
      <c r="B70" s="3" t="s">
        <v>27</v>
      </c>
      <c r="C70" s="4">
        <f t="shared" si="4"/>
        <v>46216</v>
      </c>
      <c r="D70" s="5">
        <v>3555</v>
      </c>
      <c r="E70" s="6">
        <v>2.448</v>
      </c>
      <c r="F70" s="6">
        <v>2.1379999999999999</v>
      </c>
      <c r="G70" s="5">
        <v>173</v>
      </c>
      <c r="H70" s="7">
        <v>96</v>
      </c>
      <c r="I70" s="8">
        <v>43</v>
      </c>
      <c r="J70" s="9">
        <v>63.143076923076933</v>
      </c>
      <c r="K70" s="8">
        <v>121</v>
      </c>
      <c r="L70" s="9">
        <v>49.750642673521853</v>
      </c>
      <c r="M70" s="8">
        <v>0</v>
      </c>
      <c r="N70" s="8">
        <v>80</v>
      </c>
      <c r="O70" s="10"/>
      <c r="P70" s="11">
        <v>0</v>
      </c>
      <c r="Q70" s="11">
        <v>0</v>
      </c>
      <c r="R70" s="12">
        <v>0</v>
      </c>
      <c r="S70" s="13">
        <f t="shared" si="5"/>
        <v>517</v>
      </c>
      <c r="T70" s="13">
        <v>61</v>
      </c>
      <c r="U70" s="13">
        <v>333</v>
      </c>
      <c r="V70" s="13">
        <v>123</v>
      </c>
      <c r="W70" s="13">
        <v>8</v>
      </c>
      <c r="X70" s="14">
        <v>46222.206250000003</v>
      </c>
      <c r="Y70" s="14">
        <v>46222.570833333331</v>
      </c>
      <c r="Z70" s="13">
        <v>0</v>
      </c>
      <c r="AA70" s="15">
        <v>1741.2409667051541</v>
      </c>
    </row>
    <row r="71" spans="1:27" x14ac:dyDescent="0.2">
      <c r="A71" s="2">
        <v>46223</v>
      </c>
      <c r="B71" s="3" t="s">
        <v>27</v>
      </c>
      <c r="C71" s="4">
        <f t="shared" si="4"/>
        <v>46223</v>
      </c>
      <c r="D71" s="5">
        <v>5378</v>
      </c>
      <c r="E71" s="6">
        <v>3.5390000000000001</v>
      </c>
      <c r="F71" s="6">
        <v>2.9540000000000002</v>
      </c>
      <c r="G71" s="5">
        <v>397</v>
      </c>
      <c r="H71" s="7">
        <v>135</v>
      </c>
      <c r="I71" s="8">
        <v>45</v>
      </c>
      <c r="J71" s="9">
        <v>71.957271364317847</v>
      </c>
      <c r="K71" s="8">
        <v>122</v>
      </c>
      <c r="L71" s="9"/>
      <c r="M71" s="8">
        <v>0</v>
      </c>
      <c r="N71" s="8">
        <v>80</v>
      </c>
      <c r="O71" s="10" t="s">
        <v>71</v>
      </c>
      <c r="P71" s="11">
        <v>1</v>
      </c>
      <c r="Q71" s="11">
        <v>31.5</v>
      </c>
      <c r="R71" s="12">
        <v>171</v>
      </c>
      <c r="S71" s="13">
        <f t="shared" si="5"/>
        <v>172</v>
      </c>
      <c r="T71" s="13">
        <v>62</v>
      </c>
      <c r="U71" s="13">
        <v>91</v>
      </c>
      <c r="V71" s="13">
        <v>19</v>
      </c>
      <c r="W71" s="13">
        <v>5</v>
      </c>
      <c r="X71" s="14">
        <v>46223.585416666669</v>
      </c>
      <c r="Y71" s="14">
        <v>46223.708333333343</v>
      </c>
      <c r="Z71" s="13">
        <v>0</v>
      </c>
      <c r="AA71" s="15">
        <v>1982.0671997110901</v>
      </c>
    </row>
    <row r="72" spans="1:27" x14ac:dyDescent="0.2">
      <c r="A72" s="2">
        <v>46224</v>
      </c>
      <c r="B72" s="3" t="s">
        <v>72</v>
      </c>
      <c r="C72" s="4">
        <f t="shared" si="4"/>
        <v>46223</v>
      </c>
      <c r="D72" s="5">
        <v>4509</v>
      </c>
      <c r="E72" s="6">
        <v>3.0249999999999999</v>
      </c>
      <c r="F72" s="6">
        <v>2.5299999999999998</v>
      </c>
      <c r="G72" s="5">
        <v>456</v>
      </c>
      <c r="H72" s="7">
        <v>150</v>
      </c>
      <c r="I72" s="8">
        <v>40</v>
      </c>
      <c r="J72" s="9">
        <v>57.635540069686407</v>
      </c>
      <c r="K72" s="8">
        <v>116</v>
      </c>
      <c r="L72" s="9"/>
      <c r="M72" s="8">
        <v>0</v>
      </c>
      <c r="N72" s="8">
        <v>80</v>
      </c>
      <c r="O72" s="10" t="s">
        <v>73</v>
      </c>
      <c r="P72" s="11">
        <v>1</v>
      </c>
      <c r="Q72" s="11">
        <v>64.150000000000006</v>
      </c>
      <c r="R72" s="12">
        <v>295</v>
      </c>
      <c r="S72" s="13">
        <f t="shared" si="5"/>
        <v>449</v>
      </c>
      <c r="T72" s="13">
        <v>60</v>
      </c>
      <c r="U72" s="13">
        <v>287</v>
      </c>
      <c r="V72" s="13">
        <v>102</v>
      </c>
      <c r="W72" s="13">
        <v>9</v>
      </c>
      <c r="X72" s="14">
        <v>46223.973611111112</v>
      </c>
      <c r="Y72" s="14">
        <v>46224.291666666657</v>
      </c>
      <c r="Z72" s="13">
        <v>11</v>
      </c>
      <c r="AA72" s="15">
        <v>2092.435127978526</v>
      </c>
    </row>
    <row r="73" spans="1:27" x14ac:dyDescent="0.2">
      <c r="A73" s="2">
        <v>46225</v>
      </c>
      <c r="B73" s="3" t="s">
        <v>72</v>
      </c>
      <c r="C73" s="4">
        <f t="shared" si="4"/>
        <v>46223</v>
      </c>
      <c r="D73" s="5">
        <v>9131</v>
      </c>
      <c r="E73" s="6">
        <v>6.343</v>
      </c>
      <c r="F73" s="6">
        <v>4.9690000000000003</v>
      </c>
      <c r="G73" s="5">
        <v>1123</v>
      </c>
      <c r="H73" s="7">
        <v>164</v>
      </c>
      <c r="I73" s="8">
        <v>41</v>
      </c>
      <c r="J73" s="9">
        <v>63.377358490566039</v>
      </c>
      <c r="K73" s="8">
        <v>175</v>
      </c>
      <c r="L73" s="9">
        <v>44.970387243735757</v>
      </c>
      <c r="M73" s="8">
        <v>54</v>
      </c>
      <c r="N73" s="8">
        <v>80</v>
      </c>
      <c r="O73" s="10" t="s">
        <v>74</v>
      </c>
      <c r="P73" s="11">
        <v>2</v>
      </c>
      <c r="Q73" s="11">
        <v>116.45</v>
      </c>
      <c r="R73" s="12">
        <v>954</v>
      </c>
      <c r="S73" s="13">
        <f t="shared" si="5"/>
        <v>432</v>
      </c>
      <c r="T73" s="13">
        <v>64</v>
      </c>
      <c r="U73" s="13">
        <v>292</v>
      </c>
      <c r="V73" s="13">
        <v>76</v>
      </c>
      <c r="W73" s="13">
        <v>6</v>
      </c>
      <c r="X73" s="14">
        <v>46224.984722222223</v>
      </c>
      <c r="Y73" s="14">
        <v>46225.288888888892</v>
      </c>
      <c r="Z73" s="13">
        <v>7</v>
      </c>
      <c r="AA73" s="15">
        <v>2962.5516951811769</v>
      </c>
    </row>
    <row r="74" spans="1:27" x14ac:dyDescent="0.2">
      <c r="A74" s="2">
        <v>46226</v>
      </c>
      <c r="B74" s="3" t="s">
        <v>72</v>
      </c>
      <c r="C74" s="4">
        <f t="shared" si="4"/>
        <v>46223</v>
      </c>
      <c r="D74" s="5">
        <v>8137</v>
      </c>
      <c r="E74" s="6">
        <v>5.8529999999999998</v>
      </c>
      <c r="F74" s="6">
        <v>4.5060000000000002</v>
      </c>
      <c r="G74" s="5">
        <v>256</v>
      </c>
      <c r="H74" s="7">
        <v>158</v>
      </c>
      <c r="I74" s="8">
        <v>40</v>
      </c>
      <c r="J74" s="9">
        <v>55.582025677603433</v>
      </c>
      <c r="K74" s="8">
        <v>106</v>
      </c>
      <c r="L74" s="9">
        <v>44.813370473537603</v>
      </c>
      <c r="M74" s="8">
        <v>0</v>
      </c>
      <c r="N74" s="8">
        <v>80</v>
      </c>
      <c r="O74" s="10"/>
      <c r="P74" s="11">
        <v>0</v>
      </c>
      <c r="Q74" s="11">
        <v>0</v>
      </c>
      <c r="R74" s="12">
        <v>0</v>
      </c>
      <c r="S74" s="13">
        <f t="shared" si="5"/>
        <v>342</v>
      </c>
      <c r="T74" s="13">
        <v>40</v>
      </c>
      <c r="U74" s="13">
        <v>221</v>
      </c>
      <c r="V74" s="13">
        <v>81</v>
      </c>
      <c r="W74" s="13">
        <v>16</v>
      </c>
      <c r="X74" s="14">
        <v>46226.012499999997</v>
      </c>
      <c r="Y74" s="14">
        <v>46226.261111111111</v>
      </c>
      <c r="Z74" s="13">
        <v>5</v>
      </c>
      <c r="AA74" s="15">
        <v>1963.149300590213</v>
      </c>
    </row>
    <row r="75" spans="1:27" x14ac:dyDescent="0.2">
      <c r="A75" s="2">
        <v>46227</v>
      </c>
      <c r="B75" s="3" t="s">
        <v>72</v>
      </c>
      <c r="C75" s="4">
        <f t="shared" si="4"/>
        <v>46223</v>
      </c>
      <c r="D75" s="5">
        <v>3750</v>
      </c>
      <c r="E75" s="6">
        <v>2.5310000000000001</v>
      </c>
      <c r="F75" s="6">
        <v>2.0150000000000001</v>
      </c>
      <c r="G75" s="5">
        <v>141</v>
      </c>
      <c r="H75" s="7">
        <v>67</v>
      </c>
      <c r="I75" s="8">
        <v>40</v>
      </c>
      <c r="J75" s="9">
        <v>55.233997155049792</v>
      </c>
      <c r="K75" s="8">
        <v>118</v>
      </c>
      <c r="L75" s="9">
        <v>43.573573573573583</v>
      </c>
      <c r="M75" s="8">
        <v>0</v>
      </c>
      <c r="N75" s="8">
        <v>80</v>
      </c>
      <c r="O75" s="10"/>
      <c r="P75" s="11">
        <v>0</v>
      </c>
      <c r="Q75" s="11">
        <v>0</v>
      </c>
      <c r="R75" s="12">
        <v>0</v>
      </c>
      <c r="S75" s="13">
        <f t="shared" si="5"/>
        <v>310</v>
      </c>
      <c r="T75" s="13">
        <v>67</v>
      </c>
      <c r="U75" s="13">
        <v>197</v>
      </c>
      <c r="V75" s="13">
        <v>46</v>
      </c>
      <c r="W75" s="13">
        <v>28</v>
      </c>
      <c r="X75" s="14">
        <v>46227.027777777781</v>
      </c>
      <c r="Y75" s="14">
        <v>46227.262499999997</v>
      </c>
      <c r="Z75" s="13">
        <v>15</v>
      </c>
      <c r="AA75" s="15">
        <v>1762.7666999156079</v>
      </c>
    </row>
    <row r="76" spans="1:27" x14ac:dyDescent="0.2">
      <c r="A76" s="2">
        <v>46228</v>
      </c>
      <c r="B76" s="3" t="s">
        <v>72</v>
      </c>
      <c r="C76" s="4">
        <f t="shared" si="4"/>
        <v>46223</v>
      </c>
      <c r="D76" s="5">
        <v>11226</v>
      </c>
      <c r="E76" s="6">
        <v>7.7480000000000002</v>
      </c>
      <c r="F76" s="6">
        <v>6.0140000000000002</v>
      </c>
      <c r="G76" s="5">
        <v>1310</v>
      </c>
      <c r="H76" s="7">
        <v>140</v>
      </c>
      <c r="I76" s="8">
        <v>41</v>
      </c>
      <c r="J76" s="9">
        <v>65.663629992992298</v>
      </c>
      <c r="K76" s="8">
        <v>184</v>
      </c>
      <c r="L76" s="9">
        <v>45.579591836734693</v>
      </c>
      <c r="M76" s="8">
        <v>89</v>
      </c>
      <c r="N76" s="8">
        <v>80</v>
      </c>
      <c r="O76" s="10" t="s">
        <v>75</v>
      </c>
      <c r="P76" s="11">
        <v>2</v>
      </c>
      <c r="Q76" s="11">
        <v>99.033333333333331</v>
      </c>
      <c r="R76" s="12">
        <v>1156</v>
      </c>
      <c r="S76" s="13">
        <f t="shared" si="5"/>
        <v>410</v>
      </c>
      <c r="T76" s="13">
        <v>59</v>
      </c>
      <c r="U76" s="13">
        <v>252</v>
      </c>
      <c r="V76" s="13">
        <v>99</v>
      </c>
      <c r="W76" s="13">
        <v>9</v>
      </c>
      <c r="X76" s="14">
        <v>46228.092361111107</v>
      </c>
      <c r="Y76" s="14">
        <v>46228.383333333331</v>
      </c>
      <c r="Z76" s="13">
        <v>5</v>
      </c>
      <c r="AA76" s="15">
        <v>3260.2438648673628</v>
      </c>
    </row>
    <row r="77" spans="1:27" x14ac:dyDescent="0.2">
      <c r="A77" s="2">
        <v>46229</v>
      </c>
      <c r="B77" s="3" t="s">
        <v>72</v>
      </c>
      <c r="C77" s="4">
        <f t="shared" si="4"/>
        <v>46223</v>
      </c>
      <c r="D77" s="5">
        <v>10247</v>
      </c>
      <c r="E77" s="6">
        <v>7.5640000000000001</v>
      </c>
      <c r="F77" s="6">
        <v>5.6639999999999997</v>
      </c>
      <c r="G77" s="5">
        <v>302</v>
      </c>
      <c r="H77" s="7">
        <v>96</v>
      </c>
      <c r="I77" s="8">
        <v>41</v>
      </c>
      <c r="J77" s="9">
        <v>55.30528511821975</v>
      </c>
      <c r="K77" s="8">
        <v>99</v>
      </c>
      <c r="L77" s="9">
        <v>48.806539509536783</v>
      </c>
      <c r="M77" s="8">
        <v>0</v>
      </c>
      <c r="N77" s="8">
        <v>80</v>
      </c>
      <c r="O77" s="10"/>
      <c r="P77" s="11">
        <v>0</v>
      </c>
      <c r="Q77" s="11">
        <v>0</v>
      </c>
      <c r="R77" s="12">
        <v>0</v>
      </c>
      <c r="S77" s="13">
        <f t="shared" si="5"/>
        <v>528</v>
      </c>
      <c r="T77" s="13">
        <v>109</v>
      </c>
      <c r="U77" s="13">
        <v>290</v>
      </c>
      <c r="V77" s="13">
        <v>129</v>
      </c>
      <c r="W77" s="13">
        <v>7</v>
      </c>
      <c r="X77" s="14">
        <v>46229.127083333333</v>
      </c>
      <c r="Y77" s="14">
        <v>46229.498611111107</v>
      </c>
      <c r="Z77" s="13">
        <v>0</v>
      </c>
      <c r="AA77" s="15">
        <v>2059.526617076061</v>
      </c>
    </row>
    <row r="78" spans="1:27" x14ac:dyDescent="0.2">
      <c r="A78" s="2">
        <v>46230</v>
      </c>
      <c r="B78" s="3" t="s">
        <v>72</v>
      </c>
      <c r="C78" s="4">
        <f t="shared" si="4"/>
        <v>46230</v>
      </c>
      <c r="D78" s="5">
        <v>5250</v>
      </c>
      <c r="E78" s="6">
        <v>3.4710000000000001</v>
      </c>
      <c r="F78" s="6">
        <v>2.9340000000000002</v>
      </c>
      <c r="G78" s="5">
        <v>525</v>
      </c>
      <c r="H78" s="7">
        <v>152</v>
      </c>
      <c r="I78" s="8">
        <v>40</v>
      </c>
      <c r="J78" s="9">
        <v>58.967809657102869</v>
      </c>
      <c r="K78" s="8">
        <v>147</v>
      </c>
      <c r="L78" s="9">
        <v>42.932642487046643</v>
      </c>
      <c r="M78" s="8">
        <v>2</v>
      </c>
      <c r="N78" s="8">
        <v>80</v>
      </c>
      <c r="O78" s="10" t="s">
        <v>76</v>
      </c>
      <c r="P78" s="11">
        <v>1</v>
      </c>
      <c r="Q78" s="11">
        <v>55.9</v>
      </c>
      <c r="R78" s="12">
        <v>339</v>
      </c>
      <c r="S78" s="13">
        <f t="shared" si="5"/>
        <v>387</v>
      </c>
      <c r="T78" s="13">
        <v>64</v>
      </c>
      <c r="U78" s="13">
        <v>214</v>
      </c>
      <c r="V78" s="13">
        <v>109</v>
      </c>
      <c r="W78" s="13">
        <v>1</v>
      </c>
      <c r="X78" s="14">
        <v>46229.996527777781</v>
      </c>
      <c r="Y78" s="14">
        <v>46230.265972222223</v>
      </c>
      <c r="Z78" s="13">
        <v>11</v>
      </c>
      <c r="AA78" s="15">
        <v>2170.2813798818511</v>
      </c>
    </row>
    <row r="79" spans="1:27" x14ac:dyDescent="0.2">
      <c r="A79" s="2">
        <v>46231</v>
      </c>
      <c r="B79" s="3" t="s">
        <v>72</v>
      </c>
      <c r="C79" s="4">
        <f t="shared" si="4"/>
        <v>46230</v>
      </c>
      <c r="D79" s="5">
        <v>4134</v>
      </c>
      <c r="E79" s="6">
        <v>2.7989999999999999</v>
      </c>
      <c r="F79" s="6">
        <v>2.2519999999999998</v>
      </c>
      <c r="G79" s="5">
        <v>172</v>
      </c>
      <c r="H79" s="7">
        <v>104</v>
      </c>
      <c r="I79" s="8">
        <v>41</v>
      </c>
      <c r="J79" s="9">
        <v>56.823488045007032</v>
      </c>
      <c r="K79" s="8">
        <v>114</v>
      </c>
      <c r="L79" s="9">
        <v>46.813504823151128</v>
      </c>
      <c r="M79" s="8">
        <v>0</v>
      </c>
      <c r="N79" s="8">
        <v>80</v>
      </c>
      <c r="O79" s="10"/>
      <c r="P79" s="11">
        <v>0</v>
      </c>
      <c r="Q79" s="11">
        <v>0</v>
      </c>
      <c r="R79" s="12">
        <v>0</v>
      </c>
      <c r="S79" s="13">
        <f t="shared" si="5"/>
        <v>406</v>
      </c>
      <c r="T79" s="13">
        <v>75</v>
      </c>
      <c r="U79" s="13">
        <v>249</v>
      </c>
      <c r="V79" s="13">
        <v>82</v>
      </c>
      <c r="W79" s="13">
        <v>4</v>
      </c>
      <c r="X79" s="14">
        <v>46231.05</v>
      </c>
      <c r="Y79" s="14">
        <v>46231.334722222222</v>
      </c>
      <c r="Z79" s="13">
        <v>7</v>
      </c>
      <c r="AA79" s="15">
        <v>1780.3064579869661</v>
      </c>
    </row>
    <row r="80" spans="1:27" x14ac:dyDescent="0.2">
      <c r="A80" s="2">
        <v>46232</v>
      </c>
      <c r="B80" s="3" t="s">
        <v>72</v>
      </c>
      <c r="C80" s="4">
        <f t="shared" si="4"/>
        <v>46230</v>
      </c>
      <c r="D80" s="5">
        <v>17437</v>
      </c>
      <c r="E80" s="6">
        <v>12.984</v>
      </c>
      <c r="F80" s="6">
        <v>9.9830000000000005</v>
      </c>
      <c r="G80" s="5">
        <v>2103</v>
      </c>
      <c r="H80" s="7">
        <v>339</v>
      </c>
      <c r="I80" s="8">
        <v>42</v>
      </c>
      <c r="J80" s="9">
        <v>78.498888065233501</v>
      </c>
      <c r="K80" s="8">
        <v>182</v>
      </c>
      <c r="L80" s="9">
        <v>49.588888888888889</v>
      </c>
      <c r="M80" s="8">
        <v>119</v>
      </c>
      <c r="N80" s="8">
        <v>80</v>
      </c>
      <c r="O80" s="10" t="s">
        <v>77</v>
      </c>
      <c r="P80" s="11">
        <v>3</v>
      </c>
      <c r="Q80" s="11">
        <v>191.26666666666671</v>
      </c>
      <c r="R80" s="12">
        <v>1807.6647033691411</v>
      </c>
      <c r="S80" s="13">
        <f t="shared" si="5"/>
        <v>176</v>
      </c>
      <c r="T80" s="13">
        <v>59</v>
      </c>
      <c r="U80" s="13">
        <v>82</v>
      </c>
      <c r="V80" s="13">
        <v>35</v>
      </c>
      <c r="W80" s="13">
        <v>3</v>
      </c>
      <c r="X80" s="14">
        <v>46232.052777777782</v>
      </c>
      <c r="Y80" s="14">
        <v>46232.177083333343</v>
      </c>
      <c r="Z80" s="13">
        <v>5</v>
      </c>
      <c r="AA80" s="15">
        <v>4020.8164584139558</v>
      </c>
    </row>
    <row r="81" spans="1:27" x14ac:dyDescent="0.2">
      <c r="A81" s="2">
        <v>46233</v>
      </c>
      <c r="B81" s="3" t="s">
        <v>72</v>
      </c>
      <c r="C81" s="4">
        <f t="shared" si="4"/>
        <v>46230</v>
      </c>
      <c r="D81" s="5">
        <v>7373</v>
      </c>
      <c r="E81" s="6">
        <v>5.3230000000000004</v>
      </c>
      <c r="F81" s="6">
        <v>4.242</v>
      </c>
      <c r="G81" s="5">
        <v>445</v>
      </c>
      <c r="H81" s="7">
        <v>158</v>
      </c>
      <c r="I81" s="8">
        <v>44</v>
      </c>
      <c r="J81" s="9">
        <v>60.414752957550448</v>
      </c>
      <c r="K81" s="8">
        <v>127</v>
      </c>
      <c r="L81" s="9">
        <v>52.167597765363134</v>
      </c>
      <c r="M81" s="8">
        <v>0</v>
      </c>
      <c r="N81" s="8">
        <v>80</v>
      </c>
      <c r="O81" s="10" t="s">
        <v>78</v>
      </c>
      <c r="P81" s="11">
        <v>2</v>
      </c>
      <c r="Q81" s="11">
        <v>45.05</v>
      </c>
      <c r="R81" s="12">
        <v>259.3037109375</v>
      </c>
      <c r="S81" s="13">
        <f t="shared" si="5"/>
        <v>382</v>
      </c>
      <c r="T81" s="13">
        <v>58</v>
      </c>
      <c r="U81" s="13">
        <v>222</v>
      </c>
      <c r="V81" s="13">
        <v>102</v>
      </c>
      <c r="W81" s="13">
        <v>2</v>
      </c>
      <c r="X81" s="14">
        <v>46233.019444444442</v>
      </c>
      <c r="Y81" s="14">
        <v>46233.286111111112</v>
      </c>
      <c r="Z81" s="13">
        <v>9</v>
      </c>
      <c r="AA81" s="15">
        <v>2065.4478160139579</v>
      </c>
    </row>
    <row r="82" spans="1:27" x14ac:dyDescent="0.2">
      <c r="A82" s="2">
        <v>46234</v>
      </c>
      <c r="B82" s="3" t="s">
        <v>72</v>
      </c>
      <c r="C82" s="4">
        <f t="shared" si="4"/>
        <v>46230</v>
      </c>
      <c r="D82" s="5">
        <v>10736</v>
      </c>
      <c r="E82" s="6">
        <v>7.4509999999999996</v>
      </c>
      <c r="F82" s="6">
        <v>5.8410000000000002</v>
      </c>
      <c r="G82" s="5">
        <v>1051</v>
      </c>
      <c r="H82" s="7">
        <v>187</v>
      </c>
      <c r="I82" s="8">
        <v>42</v>
      </c>
      <c r="J82" s="9">
        <v>64.248752672843906</v>
      </c>
      <c r="K82" s="8">
        <v>168</v>
      </c>
      <c r="L82" s="9">
        <v>46.966183574879217</v>
      </c>
      <c r="M82" s="8">
        <v>42</v>
      </c>
      <c r="N82" s="8">
        <v>80</v>
      </c>
      <c r="O82" s="10" t="s">
        <v>79</v>
      </c>
      <c r="P82" s="11">
        <v>2</v>
      </c>
      <c r="Q82" s="11">
        <v>122.98333333333331</v>
      </c>
      <c r="R82" s="12">
        <v>808</v>
      </c>
      <c r="S82" s="13">
        <f t="shared" si="5"/>
        <v>198</v>
      </c>
      <c r="T82" s="13">
        <v>50</v>
      </c>
      <c r="U82" s="13">
        <v>121</v>
      </c>
      <c r="V82" s="13">
        <v>27</v>
      </c>
      <c r="W82" s="13">
        <v>8</v>
      </c>
      <c r="X82" s="14">
        <v>46234.127083333333</v>
      </c>
      <c r="Y82" s="14">
        <v>46234.270138888889</v>
      </c>
      <c r="Z82" s="13">
        <v>11</v>
      </c>
      <c r="AA82" s="15">
        <v>2889.8624027450569</v>
      </c>
    </row>
    <row r="83" spans="1:27" x14ac:dyDescent="0.2">
      <c r="A83" s="2">
        <v>46235</v>
      </c>
      <c r="B83" s="3" t="s">
        <v>72</v>
      </c>
      <c r="C83" s="4">
        <f t="shared" si="4"/>
        <v>46230</v>
      </c>
      <c r="D83" s="5">
        <v>6141</v>
      </c>
      <c r="E83" s="6">
        <v>4.1079999999999997</v>
      </c>
      <c r="F83" s="6">
        <v>3.254</v>
      </c>
      <c r="G83" s="5">
        <v>219</v>
      </c>
      <c r="H83" s="7">
        <v>129</v>
      </c>
      <c r="I83" s="8">
        <v>43</v>
      </c>
      <c r="J83" s="9">
        <v>60.693820224719097</v>
      </c>
      <c r="K83" s="8">
        <v>114</v>
      </c>
      <c r="L83" s="9">
        <v>48.605504587155963</v>
      </c>
      <c r="M83" s="8">
        <v>0</v>
      </c>
      <c r="N83" s="8">
        <v>81</v>
      </c>
      <c r="O83" s="10"/>
      <c r="P83" s="11">
        <v>0</v>
      </c>
      <c r="Q83" s="11">
        <v>0</v>
      </c>
      <c r="R83" s="12">
        <v>0</v>
      </c>
      <c r="S83" s="13">
        <f t="shared" si="5"/>
        <v>193</v>
      </c>
      <c r="T83" s="13">
        <v>31</v>
      </c>
      <c r="U83" s="13">
        <v>111</v>
      </c>
      <c r="V83" s="13">
        <v>51</v>
      </c>
      <c r="W83" s="13">
        <v>39</v>
      </c>
      <c r="X83" s="14">
        <v>46235.194444444453</v>
      </c>
      <c r="Y83" s="14">
        <v>46235.355555555558</v>
      </c>
      <c r="Z83" s="13">
        <v>11</v>
      </c>
      <c r="AA83" s="15">
        <v>1871.9790997817991</v>
      </c>
    </row>
    <row r="84" spans="1:27" x14ac:dyDescent="0.2">
      <c r="A84" s="2">
        <v>46236</v>
      </c>
      <c r="B84" s="3" t="s">
        <v>72</v>
      </c>
      <c r="C84" s="4">
        <f t="shared" si="4"/>
        <v>46230</v>
      </c>
      <c r="D84" s="5">
        <v>12759</v>
      </c>
      <c r="E84" s="6">
        <v>9.82</v>
      </c>
      <c r="F84" s="6">
        <v>7.8120000000000003</v>
      </c>
      <c r="G84" s="5">
        <v>558</v>
      </c>
      <c r="H84" s="7">
        <v>190</v>
      </c>
      <c r="I84" s="8">
        <v>40</v>
      </c>
      <c r="J84" s="9">
        <v>65.040616246498601</v>
      </c>
      <c r="K84" s="8">
        <v>185</v>
      </c>
      <c r="L84" s="9">
        <v>45.482758620689658</v>
      </c>
      <c r="M84" s="8">
        <v>24</v>
      </c>
      <c r="N84" s="8">
        <v>81</v>
      </c>
      <c r="O84" s="10"/>
      <c r="P84" s="11">
        <v>0</v>
      </c>
      <c r="Q84" s="11">
        <v>0</v>
      </c>
      <c r="R84" s="12">
        <v>0</v>
      </c>
      <c r="S84" s="13">
        <f t="shared" si="5"/>
        <v>304</v>
      </c>
      <c r="T84" s="13">
        <v>83</v>
      </c>
      <c r="U84" s="13">
        <v>145</v>
      </c>
      <c r="V84" s="13">
        <v>76</v>
      </c>
      <c r="W84" s="13">
        <v>4</v>
      </c>
      <c r="X84" s="14">
        <v>46236.060416666667</v>
      </c>
      <c r="Y84" s="14">
        <v>46236.274305555547</v>
      </c>
      <c r="Z84" s="13">
        <v>9</v>
      </c>
      <c r="AA84" s="15">
        <v>2174.265867792863</v>
      </c>
    </row>
    <row r="85" spans="1:27" x14ac:dyDescent="0.2">
      <c r="A85" s="2">
        <v>46237</v>
      </c>
      <c r="B85" s="3" t="s">
        <v>72</v>
      </c>
      <c r="C85" s="4">
        <f t="shared" si="4"/>
        <v>46237</v>
      </c>
      <c r="D85" s="5">
        <v>4789</v>
      </c>
      <c r="E85" s="6">
        <v>3.206</v>
      </c>
      <c r="F85" s="6">
        <v>2.6259999999999999</v>
      </c>
      <c r="G85" s="5">
        <v>174</v>
      </c>
      <c r="H85" s="7">
        <v>329</v>
      </c>
      <c r="I85" s="8">
        <v>41</v>
      </c>
      <c r="J85" s="9">
        <v>64.25</v>
      </c>
      <c r="K85" s="8">
        <v>122</v>
      </c>
      <c r="L85" s="9">
        <v>49.018796992481199</v>
      </c>
      <c r="M85" s="8">
        <v>0</v>
      </c>
      <c r="N85" s="8">
        <v>81</v>
      </c>
      <c r="O85" s="10"/>
      <c r="P85" s="11">
        <v>0</v>
      </c>
      <c r="Q85" s="11">
        <v>0</v>
      </c>
      <c r="R85" s="12">
        <v>0</v>
      </c>
      <c r="S85" s="13">
        <f t="shared" si="5"/>
        <v>326</v>
      </c>
      <c r="T85" s="13">
        <v>89</v>
      </c>
      <c r="U85" s="13">
        <v>177</v>
      </c>
      <c r="V85" s="13">
        <v>60</v>
      </c>
      <c r="W85" s="13">
        <v>8</v>
      </c>
      <c r="X85" s="14">
        <v>46237.089583333327</v>
      </c>
      <c r="Y85" s="14">
        <v>46237.321527777778</v>
      </c>
      <c r="Z85" s="13">
        <v>15</v>
      </c>
      <c r="AA85" s="15">
        <v>1810.224534905559</v>
      </c>
    </row>
    <row r="86" spans="1:27" x14ac:dyDescent="0.2">
      <c r="A86" s="2">
        <v>46238</v>
      </c>
      <c r="B86" s="3" t="s">
        <v>72</v>
      </c>
      <c r="C86" s="4">
        <f t="shared" si="4"/>
        <v>46237</v>
      </c>
      <c r="D86" s="5">
        <v>434</v>
      </c>
      <c r="E86" s="6">
        <v>0.28299999999999997</v>
      </c>
      <c r="F86" s="6">
        <v>0.23100000000000001</v>
      </c>
      <c r="G86" s="5">
        <v>40</v>
      </c>
      <c r="H86" s="7">
        <v>19</v>
      </c>
      <c r="I86" s="8">
        <v>40</v>
      </c>
      <c r="J86" s="9">
        <v>70.071787508973443</v>
      </c>
      <c r="K86" s="8">
        <v>110</v>
      </c>
      <c r="L86" s="9"/>
      <c r="M86" s="8">
        <v>0</v>
      </c>
      <c r="N86" s="8">
        <v>81</v>
      </c>
      <c r="O86" s="10"/>
      <c r="P86" s="11">
        <v>0</v>
      </c>
      <c r="Q86" s="11">
        <v>0</v>
      </c>
      <c r="R86" s="12">
        <v>0</v>
      </c>
      <c r="S86" s="13">
        <f t="shared" si="5"/>
        <v>156</v>
      </c>
      <c r="T86" s="13">
        <v>27</v>
      </c>
      <c r="U86" s="13">
        <v>95</v>
      </c>
      <c r="V86" s="13">
        <v>34</v>
      </c>
      <c r="W86" s="13">
        <v>23</v>
      </c>
      <c r="X86" s="14">
        <v>46238.484722222223</v>
      </c>
      <c r="Y86" s="14">
        <v>46238.609027777777</v>
      </c>
      <c r="Z86" s="13">
        <v>9</v>
      </c>
      <c r="AA86" s="15">
        <v>1611.3035807368999</v>
      </c>
    </row>
    <row r="87" spans="1:27" x14ac:dyDescent="0.2">
      <c r="A87" s="2">
        <v>46239</v>
      </c>
      <c r="B87" s="3" t="s">
        <v>72</v>
      </c>
      <c r="C87" s="4">
        <f t="shared" si="4"/>
        <v>46237</v>
      </c>
      <c r="D87" s="5">
        <v>5798</v>
      </c>
      <c r="E87" s="6">
        <v>4.2679999999999998</v>
      </c>
      <c r="F87" s="6">
        <v>3.19</v>
      </c>
      <c r="G87" s="5">
        <v>178</v>
      </c>
      <c r="H87" s="7">
        <v>53</v>
      </c>
      <c r="I87" s="8">
        <v>40</v>
      </c>
      <c r="J87" s="9">
        <v>55.554703832752622</v>
      </c>
      <c r="K87" s="8">
        <v>107</v>
      </c>
      <c r="L87" s="9">
        <v>48.55263157894737</v>
      </c>
      <c r="M87" s="8">
        <v>0</v>
      </c>
      <c r="N87" s="8">
        <v>81</v>
      </c>
      <c r="O87" s="10"/>
      <c r="P87" s="11">
        <v>0</v>
      </c>
      <c r="Q87" s="11">
        <v>0</v>
      </c>
      <c r="R87" s="12">
        <v>0</v>
      </c>
      <c r="S87" s="13">
        <f t="shared" si="5"/>
        <v>608</v>
      </c>
      <c r="T87" s="13">
        <v>91</v>
      </c>
      <c r="U87" s="13">
        <v>387</v>
      </c>
      <c r="V87" s="13">
        <v>130</v>
      </c>
      <c r="W87" s="13">
        <v>5</v>
      </c>
      <c r="X87" s="14">
        <v>46238.945833333331</v>
      </c>
      <c r="Y87" s="14">
        <v>46239.371527777781</v>
      </c>
      <c r="Z87" s="13">
        <v>17</v>
      </c>
      <c r="AA87" s="15">
        <v>1856.3120762961851</v>
      </c>
    </row>
    <row r="88" spans="1:27" x14ac:dyDescent="0.2">
      <c r="A88" s="2">
        <v>46240</v>
      </c>
      <c r="B88" s="3" t="s">
        <v>72</v>
      </c>
      <c r="C88" s="4">
        <f t="shared" si="4"/>
        <v>46237</v>
      </c>
      <c r="D88" s="5">
        <v>5018</v>
      </c>
      <c r="E88" s="6">
        <v>3.3370000000000002</v>
      </c>
      <c r="F88" s="6">
        <v>2.758</v>
      </c>
      <c r="G88" s="5">
        <v>283</v>
      </c>
      <c r="H88" s="7">
        <v>147</v>
      </c>
      <c r="I88" s="8">
        <v>40</v>
      </c>
      <c r="J88" s="9">
        <v>57.63442389758179</v>
      </c>
      <c r="K88" s="8">
        <v>106</v>
      </c>
      <c r="L88" s="9">
        <v>45.408163265306122</v>
      </c>
      <c r="M88" s="8">
        <v>0</v>
      </c>
      <c r="N88" s="8">
        <v>81</v>
      </c>
      <c r="O88" s="10" t="s">
        <v>80</v>
      </c>
      <c r="P88" s="11">
        <v>1</v>
      </c>
      <c r="Q88" s="11">
        <v>40.799999999999997</v>
      </c>
      <c r="R88" s="12">
        <v>116</v>
      </c>
      <c r="S88" s="13">
        <f t="shared" si="5"/>
        <v>339</v>
      </c>
      <c r="T88" s="13">
        <v>71</v>
      </c>
      <c r="U88" s="13">
        <v>196</v>
      </c>
      <c r="V88" s="13">
        <v>72</v>
      </c>
      <c r="W88" s="13">
        <v>5</v>
      </c>
      <c r="X88" s="14">
        <v>46240.01458333333</v>
      </c>
      <c r="Y88" s="14">
        <v>46240.253472222219</v>
      </c>
      <c r="Z88" s="13">
        <v>7</v>
      </c>
      <c r="AA88" s="15">
        <v>1936.684442713738</v>
      </c>
    </row>
    <row r="89" spans="1:27" x14ac:dyDescent="0.2">
      <c r="A89" s="2">
        <v>46241</v>
      </c>
      <c r="B89" s="3" t="s">
        <v>72</v>
      </c>
      <c r="C89" s="4">
        <f t="shared" si="4"/>
        <v>46237</v>
      </c>
      <c r="D89" s="5">
        <v>9180</v>
      </c>
      <c r="E89" s="6">
        <v>6.3789999999999996</v>
      </c>
      <c r="F89" s="6">
        <v>4.984</v>
      </c>
      <c r="G89" s="5">
        <v>751</v>
      </c>
      <c r="H89" s="7">
        <v>139</v>
      </c>
      <c r="I89" s="8">
        <v>40</v>
      </c>
      <c r="J89" s="9">
        <v>62.026677445432497</v>
      </c>
      <c r="K89" s="8">
        <v>164</v>
      </c>
      <c r="L89" s="9">
        <v>45.386627906976742</v>
      </c>
      <c r="M89" s="8">
        <v>42</v>
      </c>
      <c r="N89" s="8">
        <v>81</v>
      </c>
      <c r="O89" s="10" t="s">
        <v>81</v>
      </c>
      <c r="P89" s="11">
        <v>1</v>
      </c>
      <c r="Q89" s="11">
        <v>50.783333333333331</v>
      </c>
      <c r="R89" s="12">
        <v>547</v>
      </c>
      <c r="S89" s="13">
        <f t="shared" si="5"/>
        <v>411</v>
      </c>
      <c r="T89" s="13">
        <v>68</v>
      </c>
      <c r="U89" s="13">
        <v>242</v>
      </c>
      <c r="V89" s="13">
        <v>101</v>
      </c>
      <c r="W89" s="13">
        <v>5</v>
      </c>
      <c r="X89" s="14">
        <v>46240.991666666669</v>
      </c>
      <c r="Y89" s="14">
        <v>46241.280555555553</v>
      </c>
      <c r="Z89" s="13">
        <v>0</v>
      </c>
      <c r="AA89" s="15">
        <v>2557.7898413934072</v>
      </c>
    </row>
    <row r="90" spans="1:27" x14ac:dyDescent="0.2">
      <c r="A90" s="2">
        <v>46242</v>
      </c>
      <c r="B90" s="3" t="s">
        <v>72</v>
      </c>
      <c r="C90" s="4">
        <f t="shared" si="4"/>
        <v>46237</v>
      </c>
      <c r="D90" s="5">
        <v>16043</v>
      </c>
      <c r="E90" s="6">
        <v>11.807</v>
      </c>
      <c r="F90" s="6">
        <v>9.0559999999999992</v>
      </c>
      <c r="G90" s="5">
        <v>1582</v>
      </c>
      <c r="H90" s="7">
        <v>277</v>
      </c>
      <c r="I90" s="8">
        <v>42</v>
      </c>
      <c r="J90" s="9">
        <v>67.620812544547405</v>
      </c>
      <c r="K90" s="8">
        <v>164</v>
      </c>
      <c r="L90" s="9">
        <v>45.589473684210517</v>
      </c>
      <c r="M90" s="8">
        <v>77</v>
      </c>
      <c r="N90" s="8">
        <v>81</v>
      </c>
      <c r="O90" s="10" t="s">
        <v>82</v>
      </c>
      <c r="P90" s="11">
        <v>2</v>
      </c>
      <c r="Q90" s="11">
        <v>153.23333333333329</v>
      </c>
      <c r="R90" s="12">
        <v>1314.6029968261721</v>
      </c>
      <c r="S90" s="13">
        <f t="shared" si="5"/>
        <v>278</v>
      </c>
      <c r="T90" s="13">
        <v>53</v>
      </c>
      <c r="U90" s="13">
        <v>161</v>
      </c>
      <c r="V90" s="13">
        <v>64</v>
      </c>
      <c r="W90" s="13">
        <v>6</v>
      </c>
      <c r="X90" s="14">
        <v>46242.024305555547</v>
      </c>
      <c r="Y90" s="14">
        <v>46242.22152777778</v>
      </c>
      <c r="Z90" s="13">
        <v>13</v>
      </c>
      <c r="AA90" s="15">
        <v>3435.9798818235058</v>
      </c>
    </row>
    <row r="91" spans="1:27" x14ac:dyDescent="0.2">
      <c r="A91" s="2">
        <v>46243</v>
      </c>
      <c r="B91" s="3" t="s">
        <v>72</v>
      </c>
      <c r="C91" s="4">
        <f t="shared" si="4"/>
        <v>46237</v>
      </c>
      <c r="D91" s="5">
        <v>7391</v>
      </c>
      <c r="E91" s="6">
        <v>5.141</v>
      </c>
      <c r="F91" s="6">
        <v>4.1429999999999998</v>
      </c>
      <c r="G91" s="5">
        <v>1774</v>
      </c>
      <c r="H91" s="7">
        <v>333</v>
      </c>
      <c r="I91" s="8">
        <v>41</v>
      </c>
      <c r="J91" s="9">
        <v>70.44027777777778</v>
      </c>
      <c r="K91" s="8">
        <v>180</v>
      </c>
      <c r="L91" s="9">
        <v>44.932642487046643</v>
      </c>
      <c r="M91" s="8">
        <v>35</v>
      </c>
      <c r="N91" s="8">
        <v>81</v>
      </c>
      <c r="O91" s="10" t="s">
        <v>83</v>
      </c>
      <c r="P91" s="11">
        <v>3</v>
      </c>
      <c r="Q91" s="11">
        <v>98.433333333333323</v>
      </c>
      <c r="R91" s="12">
        <v>745.68170166015625</v>
      </c>
      <c r="S91" s="13">
        <f t="shared" si="5"/>
        <v>375</v>
      </c>
      <c r="T91" s="13">
        <v>70</v>
      </c>
      <c r="U91" s="13">
        <v>237</v>
      </c>
      <c r="V91" s="13">
        <v>68</v>
      </c>
      <c r="W91" s="13">
        <v>5</v>
      </c>
      <c r="X91" s="14">
        <v>46243.087500000001</v>
      </c>
      <c r="Y91" s="14">
        <v>46243.351388888892</v>
      </c>
      <c r="Z91" s="13">
        <v>7</v>
      </c>
      <c r="AA91" s="15">
        <v>2674.756368080491</v>
      </c>
    </row>
    <row r="92" spans="1:27" x14ac:dyDescent="0.2">
      <c r="A92" s="2">
        <v>46244</v>
      </c>
      <c r="B92" s="3" t="s">
        <v>72</v>
      </c>
      <c r="C92" s="4">
        <f t="shared" si="4"/>
        <v>46244</v>
      </c>
      <c r="D92" s="5">
        <v>6160</v>
      </c>
      <c r="E92" s="6">
        <v>4.0730000000000004</v>
      </c>
      <c r="F92" s="6">
        <v>3.34</v>
      </c>
      <c r="G92" s="5">
        <v>332</v>
      </c>
      <c r="H92" s="7">
        <v>274</v>
      </c>
      <c r="I92" s="8">
        <v>42</v>
      </c>
      <c r="J92" s="9">
        <v>59.411383285302591</v>
      </c>
      <c r="K92" s="8">
        <v>111</v>
      </c>
      <c r="L92" s="9">
        <v>46.154362416107382</v>
      </c>
      <c r="M92" s="8">
        <v>0</v>
      </c>
      <c r="N92" s="8">
        <v>81</v>
      </c>
      <c r="O92" s="10" t="s">
        <v>84</v>
      </c>
      <c r="P92" s="11">
        <v>1</v>
      </c>
      <c r="Q92" s="11">
        <v>42.466666666666669</v>
      </c>
      <c r="R92" s="12">
        <v>102</v>
      </c>
      <c r="S92" s="13">
        <f t="shared" si="5"/>
        <v>293</v>
      </c>
      <c r="T92" s="13">
        <v>46</v>
      </c>
      <c r="U92" s="13">
        <v>167</v>
      </c>
      <c r="V92" s="13">
        <v>80</v>
      </c>
      <c r="W92" s="13">
        <v>9</v>
      </c>
      <c r="X92" s="14">
        <v>46244.084027777782</v>
      </c>
      <c r="Y92" s="14">
        <v>46244.293749999997</v>
      </c>
      <c r="Z92" s="13">
        <v>7</v>
      </c>
      <c r="AA92" s="15">
        <v>1974.8469523947051</v>
      </c>
    </row>
    <row r="93" spans="1:27" x14ac:dyDescent="0.2">
      <c r="A93" s="2">
        <v>46245</v>
      </c>
      <c r="B93" s="3" t="s">
        <v>72</v>
      </c>
      <c r="C93" s="4">
        <f t="shared" si="4"/>
        <v>46244</v>
      </c>
      <c r="D93" s="5">
        <v>4882</v>
      </c>
      <c r="E93" s="6">
        <v>3.32</v>
      </c>
      <c r="F93" s="6">
        <v>2.7280000000000002</v>
      </c>
      <c r="G93" s="5">
        <v>342</v>
      </c>
      <c r="H93" s="7">
        <v>143</v>
      </c>
      <c r="I93" s="8">
        <v>41</v>
      </c>
      <c r="J93" s="9">
        <v>56.387769284225158</v>
      </c>
      <c r="K93" s="8">
        <v>130</v>
      </c>
      <c r="L93" s="9">
        <v>47.84437086092715</v>
      </c>
      <c r="M93" s="8">
        <v>0</v>
      </c>
      <c r="N93" s="8">
        <v>81</v>
      </c>
      <c r="O93" s="10" t="s">
        <v>62</v>
      </c>
      <c r="P93" s="11">
        <v>1</v>
      </c>
      <c r="Q93" s="11">
        <v>47.516666666666673</v>
      </c>
      <c r="R93" s="12">
        <v>163</v>
      </c>
      <c r="S93" s="13">
        <f t="shared" si="5"/>
        <v>361</v>
      </c>
      <c r="T93" s="13">
        <v>65</v>
      </c>
      <c r="U93" s="13">
        <v>213</v>
      </c>
      <c r="V93" s="13">
        <v>83</v>
      </c>
      <c r="W93" s="13">
        <v>8</v>
      </c>
      <c r="X93" s="14">
        <v>46245.047222222223</v>
      </c>
      <c r="Y93" s="14">
        <v>46245.303472222222</v>
      </c>
      <c r="Z93" s="13">
        <v>7</v>
      </c>
      <c r="AA93" s="15">
        <v>1977.472445063466</v>
      </c>
    </row>
    <row r="94" spans="1:27" x14ac:dyDescent="0.2">
      <c r="A94" s="2">
        <v>46246</v>
      </c>
      <c r="B94" s="3" t="s">
        <v>72</v>
      </c>
      <c r="C94" s="4">
        <f t="shared" si="4"/>
        <v>46244</v>
      </c>
      <c r="D94" s="5">
        <v>12676</v>
      </c>
      <c r="E94" s="6">
        <v>9.6240000000000006</v>
      </c>
      <c r="F94" s="6">
        <v>7.6920000000000002</v>
      </c>
      <c r="G94" s="5">
        <v>1288</v>
      </c>
      <c r="H94" s="7">
        <v>200</v>
      </c>
      <c r="I94" s="8">
        <v>40</v>
      </c>
      <c r="J94" s="9">
        <v>65.445551601423489</v>
      </c>
      <c r="K94" s="8">
        <v>176</v>
      </c>
      <c r="L94" s="9">
        <v>44.220543806646518</v>
      </c>
      <c r="M94" s="8">
        <v>74</v>
      </c>
      <c r="N94" s="8">
        <v>81</v>
      </c>
      <c r="O94" s="10" t="s">
        <v>85</v>
      </c>
      <c r="P94" s="11">
        <v>2</v>
      </c>
      <c r="Q94" s="11">
        <v>101.2833333333333</v>
      </c>
      <c r="R94" s="12">
        <v>958.21481323242188</v>
      </c>
      <c r="S94" s="13">
        <f t="shared" si="5"/>
        <v>357</v>
      </c>
      <c r="T94" s="13">
        <v>72</v>
      </c>
      <c r="U94" s="13">
        <v>213</v>
      </c>
      <c r="V94" s="13">
        <v>72</v>
      </c>
      <c r="W94" s="13">
        <v>8</v>
      </c>
      <c r="X94" s="14">
        <v>46246.072916666657</v>
      </c>
      <c r="Y94" s="14">
        <v>46246.326388888891</v>
      </c>
      <c r="Z94" s="13">
        <v>1</v>
      </c>
      <c r="AA94" s="15">
        <v>2909.9297750104911</v>
      </c>
    </row>
    <row r="95" spans="1:27" x14ac:dyDescent="0.2">
      <c r="A95" s="2">
        <v>46247</v>
      </c>
      <c r="B95" s="3" t="s">
        <v>72</v>
      </c>
      <c r="C95" s="4">
        <f t="shared" si="4"/>
        <v>46244</v>
      </c>
      <c r="D95" s="5">
        <v>4764</v>
      </c>
      <c r="E95" s="6">
        <v>3.165</v>
      </c>
      <c r="F95" s="6">
        <v>2.5960000000000001</v>
      </c>
      <c r="G95" s="5">
        <v>364</v>
      </c>
      <c r="H95" s="7">
        <v>149</v>
      </c>
      <c r="I95" s="8">
        <v>41</v>
      </c>
      <c r="J95" s="9">
        <v>55.243919388464207</v>
      </c>
      <c r="K95" s="8">
        <v>109</v>
      </c>
      <c r="L95" s="9">
        <v>44.959375000000001</v>
      </c>
      <c r="M95" s="8">
        <v>0</v>
      </c>
      <c r="N95" s="8">
        <v>81</v>
      </c>
      <c r="O95" s="10" t="s">
        <v>86</v>
      </c>
      <c r="P95" s="11">
        <v>1</v>
      </c>
      <c r="Q95" s="11">
        <v>62.4</v>
      </c>
      <c r="R95" s="12">
        <v>219</v>
      </c>
      <c r="S95" s="13">
        <f t="shared" si="5"/>
        <v>401</v>
      </c>
      <c r="T95" s="13">
        <v>71</v>
      </c>
      <c r="U95" s="13">
        <v>259</v>
      </c>
      <c r="V95" s="13">
        <v>71</v>
      </c>
      <c r="W95" s="13">
        <v>13</v>
      </c>
      <c r="X95" s="14">
        <v>46247.006944444453</v>
      </c>
      <c r="Y95" s="14">
        <v>46247.294444444437</v>
      </c>
      <c r="Z95" s="13">
        <v>11</v>
      </c>
      <c r="AA95" s="15">
        <v>2028.082623572788</v>
      </c>
    </row>
    <row r="96" spans="1:27" x14ac:dyDescent="0.2">
      <c r="A96" s="2">
        <v>46248</v>
      </c>
      <c r="B96" s="3" t="s">
        <v>72</v>
      </c>
      <c r="C96" s="4">
        <f t="shared" si="4"/>
        <v>46244</v>
      </c>
      <c r="D96" s="5">
        <v>10768</v>
      </c>
      <c r="E96" s="6">
        <v>7.3780000000000001</v>
      </c>
      <c r="F96" s="6">
        <v>5.7990000000000004</v>
      </c>
      <c r="G96" s="5">
        <v>1382</v>
      </c>
      <c r="H96" s="7">
        <v>234</v>
      </c>
      <c r="I96" s="8">
        <v>40</v>
      </c>
      <c r="J96" s="9">
        <v>69.057815845824408</v>
      </c>
      <c r="K96" s="8">
        <v>168</v>
      </c>
      <c r="L96" s="9">
        <v>44.565934065934073</v>
      </c>
      <c r="M96" s="8">
        <v>51</v>
      </c>
      <c r="N96" s="8">
        <v>81</v>
      </c>
      <c r="O96" s="10" t="s">
        <v>87</v>
      </c>
      <c r="P96" s="11">
        <v>2</v>
      </c>
      <c r="Q96" s="11">
        <v>147.33333333333329</v>
      </c>
      <c r="R96" s="12">
        <v>1179</v>
      </c>
      <c r="S96" s="13">
        <f t="shared" si="5"/>
        <v>358</v>
      </c>
      <c r="T96" s="13">
        <v>42</v>
      </c>
      <c r="U96" s="13">
        <v>209</v>
      </c>
      <c r="V96" s="13">
        <v>107</v>
      </c>
      <c r="W96" s="13">
        <v>5</v>
      </c>
      <c r="X96" s="14">
        <v>46248.040277777778</v>
      </c>
      <c r="Y96" s="14">
        <v>46248.292361111111</v>
      </c>
      <c r="Z96" s="13">
        <v>0</v>
      </c>
      <c r="AA96" s="15">
        <v>3262.3240492510031</v>
      </c>
    </row>
    <row r="97" spans="1:27" x14ac:dyDescent="0.2">
      <c r="A97" s="2">
        <v>46249</v>
      </c>
      <c r="B97" s="3" t="s">
        <v>72</v>
      </c>
      <c r="C97" s="4">
        <f t="shared" si="4"/>
        <v>46244</v>
      </c>
      <c r="D97" s="5">
        <v>1072</v>
      </c>
      <c r="E97" s="6">
        <v>0.7</v>
      </c>
      <c r="F97" s="6">
        <v>0.54200000000000004</v>
      </c>
      <c r="G97" s="5">
        <v>59</v>
      </c>
      <c r="H97" s="7">
        <v>71</v>
      </c>
      <c r="I97" s="8">
        <v>47</v>
      </c>
      <c r="J97" s="9">
        <v>61.740203193033381</v>
      </c>
      <c r="K97" s="8">
        <v>102</v>
      </c>
      <c r="L97" s="9">
        <v>56.457300275482091</v>
      </c>
      <c r="M97" s="8">
        <v>0</v>
      </c>
      <c r="N97" s="8">
        <v>81</v>
      </c>
      <c r="O97" s="10"/>
      <c r="P97" s="11">
        <v>0</v>
      </c>
      <c r="Q97" s="11">
        <v>0</v>
      </c>
      <c r="R97" s="12">
        <v>0</v>
      </c>
      <c r="S97" s="13">
        <f t="shared" si="5"/>
        <v>573</v>
      </c>
      <c r="T97" s="13">
        <v>60</v>
      </c>
      <c r="U97" s="13">
        <v>417</v>
      </c>
      <c r="V97" s="13">
        <v>96</v>
      </c>
      <c r="W97" s="13">
        <v>38</v>
      </c>
      <c r="X97" s="14">
        <v>46248.997916666667</v>
      </c>
      <c r="Y97" s="14">
        <v>46249.422222222223</v>
      </c>
      <c r="Z97" s="13">
        <v>13</v>
      </c>
      <c r="AA97" s="15">
        <v>1640.4451579492079</v>
      </c>
    </row>
    <row r="98" spans="1:27" x14ac:dyDescent="0.2">
      <c r="A98" s="2">
        <v>46250</v>
      </c>
      <c r="B98" s="3" t="s">
        <v>72</v>
      </c>
      <c r="C98" s="4">
        <f t="shared" ref="C98:C129" si="6">A98-WEEKDAY(A98,3)</f>
        <v>46244</v>
      </c>
      <c r="D98" s="5">
        <v>5390</v>
      </c>
      <c r="E98" s="6">
        <v>3.835</v>
      </c>
      <c r="F98" s="6">
        <v>2.984</v>
      </c>
      <c r="G98" s="5">
        <v>188</v>
      </c>
      <c r="H98" s="7">
        <v>124</v>
      </c>
      <c r="I98" s="8">
        <v>49</v>
      </c>
      <c r="J98" s="9">
        <v>65.458832335329348</v>
      </c>
      <c r="K98" s="8">
        <v>104</v>
      </c>
      <c r="L98" s="9">
        <v>56.958791208791212</v>
      </c>
      <c r="M98" s="8">
        <v>0</v>
      </c>
      <c r="N98" s="8">
        <v>81</v>
      </c>
      <c r="O98" s="10"/>
      <c r="P98" s="11">
        <v>0</v>
      </c>
      <c r="Q98" s="11">
        <v>0</v>
      </c>
      <c r="R98" s="12">
        <v>0</v>
      </c>
      <c r="S98" s="13">
        <f t="shared" ref="S98:S129" si="7">IF(COUNT(T98:V98)=3,T98+U98+V98,"")</f>
        <v>353</v>
      </c>
      <c r="T98" s="13">
        <v>41</v>
      </c>
      <c r="U98" s="13">
        <v>218</v>
      </c>
      <c r="V98" s="13">
        <v>94</v>
      </c>
      <c r="W98" s="13">
        <v>10</v>
      </c>
      <c r="X98" s="14">
        <v>46250.167361111111</v>
      </c>
      <c r="Y98" s="14">
        <v>46250.419444444437</v>
      </c>
      <c r="Z98" s="13">
        <v>0</v>
      </c>
      <c r="AA98" s="15">
        <v>1837.676083345367</v>
      </c>
    </row>
    <row r="99" spans="1:27" x14ac:dyDescent="0.2">
      <c r="A99" s="2">
        <v>46251</v>
      </c>
      <c r="B99" s="3" t="s">
        <v>72</v>
      </c>
      <c r="C99" s="4">
        <f t="shared" si="6"/>
        <v>46251</v>
      </c>
      <c r="D99" s="5">
        <v>5971</v>
      </c>
      <c r="E99" s="6">
        <v>3.9580000000000002</v>
      </c>
      <c r="F99" s="6">
        <v>3.27</v>
      </c>
      <c r="G99" s="5">
        <v>743</v>
      </c>
      <c r="H99" s="7">
        <v>191</v>
      </c>
      <c r="I99" s="8">
        <v>47</v>
      </c>
      <c r="J99" s="9">
        <v>65.394444444444446</v>
      </c>
      <c r="K99" s="8">
        <v>135</v>
      </c>
      <c r="L99" s="9">
        <v>54.166666666666657</v>
      </c>
      <c r="M99" s="8">
        <v>0</v>
      </c>
      <c r="N99" s="8">
        <v>81</v>
      </c>
      <c r="O99" s="10" t="s">
        <v>88</v>
      </c>
      <c r="P99" s="11">
        <v>2</v>
      </c>
      <c r="Q99" s="11">
        <v>102.56666666666671</v>
      </c>
      <c r="R99" s="12">
        <v>583</v>
      </c>
      <c r="S99" s="13">
        <f t="shared" si="7"/>
        <v>398</v>
      </c>
      <c r="T99" s="13">
        <v>83</v>
      </c>
      <c r="U99" s="13">
        <v>231</v>
      </c>
      <c r="V99" s="13">
        <v>84</v>
      </c>
      <c r="W99" s="13">
        <v>2</v>
      </c>
      <c r="X99" s="14">
        <v>46251.030555555553</v>
      </c>
      <c r="Y99" s="14">
        <v>46251.308333333327</v>
      </c>
      <c r="Z99" s="13">
        <v>13</v>
      </c>
      <c r="AA99" s="15">
        <v>2447.2141027189582</v>
      </c>
    </row>
    <row r="100" spans="1:27" x14ac:dyDescent="0.2">
      <c r="A100" s="2">
        <v>46252</v>
      </c>
      <c r="B100" s="3" t="s">
        <v>72</v>
      </c>
      <c r="C100" s="4">
        <f t="shared" si="6"/>
        <v>46251</v>
      </c>
      <c r="D100" s="5">
        <v>9449</v>
      </c>
      <c r="E100" s="6">
        <v>6.69</v>
      </c>
      <c r="F100" s="6">
        <v>5.2</v>
      </c>
      <c r="G100" s="5">
        <v>321</v>
      </c>
      <c r="H100" s="7">
        <v>178</v>
      </c>
      <c r="I100" s="8">
        <v>42</v>
      </c>
      <c r="J100" s="9">
        <v>63.254367575122288</v>
      </c>
      <c r="K100" s="8">
        <v>114</v>
      </c>
      <c r="L100" s="9">
        <v>48.393081761006293</v>
      </c>
      <c r="M100" s="8">
        <v>0</v>
      </c>
      <c r="N100" s="8">
        <v>81</v>
      </c>
      <c r="O100" s="10"/>
      <c r="P100" s="11">
        <v>0</v>
      </c>
      <c r="Q100" s="11">
        <v>0</v>
      </c>
      <c r="R100" s="12">
        <v>0</v>
      </c>
      <c r="S100" s="13">
        <f t="shared" si="7"/>
        <v>302</v>
      </c>
      <c r="T100" s="13">
        <v>31</v>
      </c>
      <c r="U100" s="13">
        <v>215</v>
      </c>
      <c r="V100" s="13">
        <v>56</v>
      </c>
      <c r="W100" s="13">
        <v>15</v>
      </c>
      <c r="X100" s="14">
        <v>46252.069444444453</v>
      </c>
      <c r="Y100" s="14">
        <v>46252.289583333331</v>
      </c>
      <c r="Z100" s="13">
        <v>13</v>
      </c>
      <c r="AA100" s="15">
        <v>2023.07680733402</v>
      </c>
    </row>
    <row r="101" spans="1:27" x14ac:dyDescent="0.2">
      <c r="A101" s="2">
        <v>46253</v>
      </c>
      <c r="B101" s="3" t="s">
        <v>72</v>
      </c>
      <c r="C101" s="4">
        <f t="shared" si="6"/>
        <v>46251</v>
      </c>
      <c r="D101" s="5">
        <v>11936</v>
      </c>
      <c r="E101" s="6">
        <v>9.0570000000000004</v>
      </c>
      <c r="F101" s="6">
        <v>6.9139999999999997</v>
      </c>
      <c r="G101" s="5">
        <v>1396</v>
      </c>
      <c r="H101" s="7">
        <v>201</v>
      </c>
      <c r="I101" s="8">
        <v>42</v>
      </c>
      <c r="J101" s="9">
        <v>69.428062678062673</v>
      </c>
      <c r="K101" s="8">
        <v>173</v>
      </c>
      <c r="L101" s="9">
        <v>47.315457413249213</v>
      </c>
      <c r="M101" s="8">
        <v>74</v>
      </c>
      <c r="N101" s="8">
        <v>81</v>
      </c>
      <c r="O101" s="10" t="s">
        <v>89</v>
      </c>
      <c r="P101" s="11">
        <v>2</v>
      </c>
      <c r="Q101" s="11">
        <v>86.15</v>
      </c>
      <c r="R101" s="12">
        <v>646.02134418487549</v>
      </c>
      <c r="S101" s="13">
        <f t="shared" si="7"/>
        <v>401</v>
      </c>
      <c r="T101" s="13">
        <v>84</v>
      </c>
      <c r="U101" s="13">
        <v>251</v>
      </c>
      <c r="V101" s="13">
        <v>66</v>
      </c>
      <c r="W101" s="13">
        <v>12</v>
      </c>
      <c r="X101" s="14">
        <v>46253.019444444442</v>
      </c>
      <c r="Y101" s="14">
        <v>46253.306250000001</v>
      </c>
      <c r="Z101" s="13">
        <v>0</v>
      </c>
      <c r="AA101" s="15">
        <v>2773.4383963652649</v>
      </c>
    </row>
    <row r="102" spans="1:27" x14ac:dyDescent="0.2">
      <c r="A102" s="2">
        <v>46254</v>
      </c>
      <c r="B102" s="3" t="s">
        <v>72</v>
      </c>
      <c r="C102" s="4">
        <f t="shared" si="6"/>
        <v>46251</v>
      </c>
      <c r="D102" s="5">
        <v>9978</v>
      </c>
      <c r="E102" s="6">
        <v>6.9249999999999998</v>
      </c>
      <c r="F102" s="6">
        <v>5.3689999999999998</v>
      </c>
      <c r="G102" s="5">
        <v>1080</v>
      </c>
      <c r="H102" s="7">
        <v>150</v>
      </c>
      <c r="I102" s="8">
        <v>47</v>
      </c>
      <c r="J102" s="9">
        <v>69.49290780141844</v>
      </c>
      <c r="K102" s="8">
        <v>170</v>
      </c>
      <c r="L102" s="9">
        <v>52.802197802197803</v>
      </c>
      <c r="M102" s="8">
        <v>56</v>
      </c>
      <c r="N102" s="8">
        <v>81</v>
      </c>
      <c r="O102" s="10" t="s">
        <v>90</v>
      </c>
      <c r="P102" s="11">
        <v>1</v>
      </c>
      <c r="Q102" s="11">
        <v>103.06666666666671</v>
      </c>
      <c r="R102" s="12">
        <v>942</v>
      </c>
      <c r="S102" s="13">
        <f t="shared" si="7"/>
        <v>409</v>
      </c>
      <c r="T102" s="13">
        <v>33</v>
      </c>
      <c r="U102" s="13">
        <v>257</v>
      </c>
      <c r="V102" s="13">
        <v>119</v>
      </c>
      <c r="W102" s="13">
        <v>13</v>
      </c>
      <c r="X102" s="14">
        <v>46253.978472222218</v>
      </c>
      <c r="Y102" s="14">
        <v>46254.271527777782</v>
      </c>
      <c r="Z102" s="13">
        <v>3</v>
      </c>
      <c r="AA102" s="15">
        <v>2989.2396511354491</v>
      </c>
    </row>
    <row r="103" spans="1:27" x14ac:dyDescent="0.2">
      <c r="A103" s="2">
        <v>46255</v>
      </c>
      <c r="B103" s="3" t="s">
        <v>72</v>
      </c>
      <c r="C103" s="4">
        <f t="shared" si="6"/>
        <v>46251</v>
      </c>
      <c r="D103" s="5">
        <v>8107</v>
      </c>
      <c r="E103" s="6">
        <v>5.7530000000000001</v>
      </c>
      <c r="F103" s="6">
        <v>4.4329999999999998</v>
      </c>
      <c r="G103" s="5">
        <v>918</v>
      </c>
      <c r="H103" s="7">
        <v>196</v>
      </c>
      <c r="I103" s="8">
        <v>44</v>
      </c>
      <c r="J103" s="9">
        <v>65.787991104521865</v>
      </c>
      <c r="K103" s="8">
        <v>172</v>
      </c>
      <c r="L103" s="9">
        <v>48.879194630872483</v>
      </c>
      <c r="M103" s="8">
        <v>50</v>
      </c>
      <c r="N103" s="8">
        <v>81</v>
      </c>
      <c r="O103" s="10" t="s">
        <v>91</v>
      </c>
      <c r="P103" s="11">
        <v>1</v>
      </c>
      <c r="Q103" s="11">
        <v>77.566666666666663</v>
      </c>
      <c r="R103" s="12">
        <v>787</v>
      </c>
      <c r="S103" s="13">
        <f t="shared" si="7"/>
        <v>312</v>
      </c>
      <c r="T103" s="13">
        <v>51</v>
      </c>
      <c r="U103" s="13">
        <v>165</v>
      </c>
      <c r="V103" s="13">
        <v>96</v>
      </c>
      <c r="W103" s="13">
        <v>4</v>
      </c>
      <c r="X103" s="14">
        <v>46255.064583333333</v>
      </c>
      <c r="Y103" s="14">
        <v>46255.28402777778</v>
      </c>
      <c r="Z103" s="13">
        <v>7</v>
      </c>
      <c r="AA103" s="15">
        <v>2748.7790069908879</v>
      </c>
    </row>
    <row r="104" spans="1:27" x14ac:dyDescent="0.2">
      <c r="A104" s="2">
        <v>46256</v>
      </c>
      <c r="B104" s="3" t="s">
        <v>72</v>
      </c>
      <c r="C104" s="4">
        <f t="shared" si="6"/>
        <v>46251</v>
      </c>
      <c r="D104" s="5">
        <v>7642</v>
      </c>
      <c r="E104" s="6">
        <v>5.1719999999999997</v>
      </c>
      <c r="F104" s="6">
        <v>4.3600000000000003</v>
      </c>
      <c r="G104" s="5">
        <v>590</v>
      </c>
      <c r="H104" s="7">
        <v>183</v>
      </c>
      <c r="I104" s="8">
        <v>40</v>
      </c>
      <c r="J104" s="9">
        <v>71.31087719298246</v>
      </c>
      <c r="K104" s="8">
        <v>184</v>
      </c>
      <c r="L104" s="9">
        <v>46.925925925925917</v>
      </c>
      <c r="M104" s="8">
        <v>31</v>
      </c>
      <c r="N104" s="8">
        <v>81</v>
      </c>
      <c r="O104" s="10" t="s">
        <v>92</v>
      </c>
      <c r="P104" s="11">
        <v>1</v>
      </c>
      <c r="Q104" s="11">
        <v>29.43333333333333</v>
      </c>
      <c r="R104" s="12">
        <v>290</v>
      </c>
      <c r="S104" s="13">
        <f t="shared" si="7"/>
        <v>380</v>
      </c>
      <c r="T104" s="13">
        <v>70</v>
      </c>
      <c r="U104" s="13">
        <v>227</v>
      </c>
      <c r="V104" s="13">
        <v>83</v>
      </c>
      <c r="W104" s="13">
        <v>10</v>
      </c>
      <c r="X104" s="14">
        <v>46256.09652777778</v>
      </c>
      <c r="Y104" s="14">
        <v>46256.367361111108</v>
      </c>
      <c r="Z104" s="13">
        <v>0</v>
      </c>
      <c r="AA104" s="15">
        <v>2230.539456201353</v>
      </c>
    </row>
    <row r="105" spans="1:27" x14ac:dyDescent="0.2">
      <c r="A105" s="2">
        <v>46257</v>
      </c>
      <c r="B105" s="3" t="s">
        <v>72</v>
      </c>
      <c r="C105" s="4">
        <f t="shared" si="6"/>
        <v>46251</v>
      </c>
      <c r="D105" s="5">
        <v>15145</v>
      </c>
      <c r="E105" s="6">
        <v>11.782</v>
      </c>
      <c r="F105" s="6">
        <v>8.9949999999999992</v>
      </c>
      <c r="G105" s="5">
        <v>777</v>
      </c>
      <c r="H105" s="7">
        <v>166</v>
      </c>
      <c r="I105" s="8">
        <v>45</v>
      </c>
      <c r="J105" s="9">
        <v>65.047548291233284</v>
      </c>
      <c r="K105" s="8">
        <v>163</v>
      </c>
      <c r="L105" s="9">
        <v>53.269230769230766</v>
      </c>
      <c r="M105" s="8">
        <v>34</v>
      </c>
      <c r="N105" s="8">
        <v>81</v>
      </c>
      <c r="O105" s="10" t="s">
        <v>93</v>
      </c>
      <c r="P105" s="11">
        <v>2</v>
      </c>
      <c r="Q105" s="11">
        <v>38.35</v>
      </c>
      <c r="R105" s="12">
        <v>415.27547454833979</v>
      </c>
      <c r="S105" s="13">
        <f t="shared" si="7"/>
        <v>517</v>
      </c>
      <c r="T105" s="13">
        <v>79</v>
      </c>
      <c r="U105" s="13">
        <v>314</v>
      </c>
      <c r="V105" s="13">
        <v>124</v>
      </c>
      <c r="W105" s="13">
        <v>23</v>
      </c>
      <c r="X105" s="14">
        <v>46257.033333333333</v>
      </c>
      <c r="Y105" s="14">
        <v>46257.408333333333</v>
      </c>
      <c r="Z105" s="13">
        <v>1</v>
      </c>
      <c r="AA105" s="15">
        <v>2443.3810418849621</v>
      </c>
    </row>
    <row r="106" spans="1:27" x14ac:dyDescent="0.2">
      <c r="A106" s="2">
        <v>46258</v>
      </c>
      <c r="B106" s="3" t="s">
        <v>72</v>
      </c>
      <c r="C106" s="4">
        <f t="shared" si="6"/>
        <v>46258</v>
      </c>
      <c r="D106" s="5">
        <v>4452</v>
      </c>
      <c r="E106" s="6">
        <v>2.9860000000000002</v>
      </c>
      <c r="F106" s="6">
        <v>2.4209999999999998</v>
      </c>
      <c r="G106" s="5">
        <v>309</v>
      </c>
      <c r="H106" s="7">
        <v>106</v>
      </c>
      <c r="I106" s="8">
        <v>43</v>
      </c>
      <c r="J106" s="9">
        <v>59.735416666666673</v>
      </c>
      <c r="K106" s="8">
        <v>119</v>
      </c>
      <c r="L106" s="9">
        <v>51.194610778443113</v>
      </c>
      <c r="M106" s="8">
        <v>0</v>
      </c>
      <c r="N106" s="8">
        <v>81</v>
      </c>
      <c r="O106" s="10" t="s">
        <v>35</v>
      </c>
      <c r="P106" s="11">
        <v>1</v>
      </c>
      <c r="Q106" s="11">
        <v>44.4</v>
      </c>
      <c r="R106" s="12">
        <v>140</v>
      </c>
      <c r="S106" s="13">
        <f t="shared" si="7"/>
        <v>322</v>
      </c>
      <c r="T106" s="13">
        <v>54</v>
      </c>
      <c r="U106" s="13">
        <v>180</v>
      </c>
      <c r="V106" s="13">
        <v>88</v>
      </c>
      <c r="W106" s="13">
        <v>11</v>
      </c>
      <c r="X106" s="14">
        <v>46258.113194444442</v>
      </c>
      <c r="Y106" s="14">
        <v>46258.344444444447</v>
      </c>
      <c r="Z106" s="13">
        <v>11</v>
      </c>
      <c r="AA106" s="15">
        <v>1934.8315701398089</v>
      </c>
    </row>
    <row r="107" spans="1:27" x14ac:dyDescent="0.2">
      <c r="A107" s="2">
        <v>46259</v>
      </c>
      <c r="B107" s="3" t="s">
        <v>72</v>
      </c>
      <c r="C107" s="4">
        <f t="shared" si="6"/>
        <v>46258</v>
      </c>
      <c r="D107" s="5">
        <v>13913</v>
      </c>
      <c r="E107" s="6">
        <v>11.692</v>
      </c>
      <c r="F107" s="6">
        <v>8.8629999999999995</v>
      </c>
      <c r="G107" s="5">
        <v>1070</v>
      </c>
      <c r="H107" s="7">
        <v>203</v>
      </c>
      <c r="I107" s="8">
        <v>41</v>
      </c>
      <c r="J107" s="9">
        <v>66.470972423802607</v>
      </c>
      <c r="K107" s="8">
        <v>175</v>
      </c>
      <c r="L107" s="9">
        <v>45.945578231292522</v>
      </c>
      <c r="M107" s="8">
        <v>64</v>
      </c>
      <c r="N107" s="8">
        <v>81</v>
      </c>
      <c r="O107" s="10" t="s">
        <v>94</v>
      </c>
      <c r="P107" s="11">
        <v>2</v>
      </c>
      <c r="Q107" s="11">
        <v>115.85</v>
      </c>
      <c r="R107" s="12">
        <v>911.318115234375</v>
      </c>
      <c r="S107" s="13">
        <f t="shared" si="7"/>
        <v>334</v>
      </c>
      <c r="T107" s="13">
        <v>86</v>
      </c>
      <c r="U107" s="13">
        <v>184</v>
      </c>
      <c r="V107" s="13">
        <v>64</v>
      </c>
      <c r="W107" s="13">
        <v>14</v>
      </c>
      <c r="X107" s="14">
        <v>46258.972916666673</v>
      </c>
      <c r="Y107" s="14">
        <v>46259.214583333327</v>
      </c>
      <c r="Z107" s="13">
        <v>3</v>
      </c>
      <c r="AA107" s="15">
        <v>2692.144414761402</v>
      </c>
    </row>
    <row r="108" spans="1:27" x14ac:dyDescent="0.2">
      <c r="A108" s="2">
        <v>46260</v>
      </c>
      <c r="B108" s="3" t="s">
        <v>72</v>
      </c>
      <c r="C108" s="4">
        <f t="shared" si="6"/>
        <v>46258</v>
      </c>
      <c r="D108" s="5">
        <v>6180</v>
      </c>
      <c r="E108" s="6">
        <v>4.3840000000000003</v>
      </c>
      <c r="F108" s="6">
        <v>3.3260000000000001</v>
      </c>
      <c r="G108" s="5">
        <v>754</v>
      </c>
      <c r="H108" s="7">
        <v>87</v>
      </c>
      <c r="I108" s="8">
        <v>40</v>
      </c>
      <c r="J108" s="9">
        <v>62.144380639868743</v>
      </c>
      <c r="K108" s="8">
        <v>172</v>
      </c>
      <c r="L108" s="9">
        <v>46.406779661016948</v>
      </c>
      <c r="M108" s="8">
        <v>53</v>
      </c>
      <c r="N108" s="8">
        <v>81</v>
      </c>
      <c r="O108" s="10" t="s">
        <v>95</v>
      </c>
      <c r="P108" s="11">
        <v>1</v>
      </c>
      <c r="Q108" s="11">
        <v>54.983333333333327</v>
      </c>
      <c r="R108" s="12">
        <v>677</v>
      </c>
      <c r="S108" s="13">
        <f t="shared" si="7"/>
        <v>475</v>
      </c>
      <c r="T108" s="13">
        <v>46</v>
      </c>
      <c r="U108" s="13">
        <v>297</v>
      </c>
      <c r="V108" s="13">
        <v>132</v>
      </c>
      <c r="W108" s="13">
        <v>14</v>
      </c>
      <c r="X108" s="14">
        <v>46260.091666666667</v>
      </c>
      <c r="Y108" s="14">
        <v>46260.431250000001</v>
      </c>
      <c r="Z108" s="13">
        <v>0</v>
      </c>
      <c r="AA108" s="15">
        <v>2550.7604814609208</v>
      </c>
    </row>
    <row r="109" spans="1:27" x14ac:dyDescent="0.2">
      <c r="A109" s="2">
        <v>46261</v>
      </c>
      <c r="B109" s="3" t="s">
        <v>72</v>
      </c>
      <c r="C109" s="4">
        <f t="shared" si="6"/>
        <v>46258</v>
      </c>
      <c r="D109" s="5">
        <v>7893</v>
      </c>
      <c r="E109" s="6">
        <v>6.0490000000000004</v>
      </c>
      <c r="F109" s="6">
        <v>5.0129999999999999</v>
      </c>
      <c r="G109" s="5">
        <v>734</v>
      </c>
      <c r="H109" s="7">
        <v>313</v>
      </c>
      <c r="I109" s="8">
        <v>40</v>
      </c>
      <c r="J109" s="9">
        <v>62.049122807017547</v>
      </c>
      <c r="K109" s="8">
        <v>169</v>
      </c>
      <c r="L109" s="9">
        <v>47.017667844522968</v>
      </c>
      <c r="M109" s="8">
        <v>19</v>
      </c>
      <c r="N109" s="8">
        <v>81</v>
      </c>
      <c r="O109" s="10" t="s">
        <v>96</v>
      </c>
      <c r="P109" s="11">
        <v>2</v>
      </c>
      <c r="Q109" s="11">
        <v>110.6666666666667</v>
      </c>
      <c r="R109" s="12">
        <v>593</v>
      </c>
      <c r="S109" s="13">
        <f t="shared" si="7"/>
        <v>333</v>
      </c>
      <c r="T109" s="13">
        <v>44</v>
      </c>
      <c r="U109" s="13">
        <v>212</v>
      </c>
      <c r="V109" s="13">
        <v>77</v>
      </c>
      <c r="W109" s="13">
        <v>8</v>
      </c>
      <c r="X109" s="14">
        <v>46261.050694444442</v>
      </c>
      <c r="Y109" s="14">
        <v>46261.287499999999</v>
      </c>
      <c r="Z109" s="13">
        <v>7</v>
      </c>
      <c r="AA109" s="15">
        <v>2545.0042459823708</v>
      </c>
    </row>
    <row r="110" spans="1:27" x14ac:dyDescent="0.2">
      <c r="A110" s="2">
        <v>46262</v>
      </c>
      <c r="B110" s="3" t="s">
        <v>72</v>
      </c>
      <c r="C110" s="4">
        <f t="shared" si="6"/>
        <v>46258</v>
      </c>
      <c r="D110" s="5">
        <v>591</v>
      </c>
      <c r="E110" s="6">
        <v>0.38400000000000001</v>
      </c>
      <c r="F110" s="6">
        <v>0.29599999999999999</v>
      </c>
      <c r="G110" s="5">
        <v>46</v>
      </c>
      <c r="H110" s="7">
        <v>23</v>
      </c>
      <c r="I110" s="8">
        <v>41</v>
      </c>
      <c r="J110" s="9">
        <v>54.160030627871357</v>
      </c>
      <c r="K110" s="8">
        <v>85</v>
      </c>
      <c r="L110" s="9">
        <v>47.594377510040161</v>
      </c>
      <c r="M110" s="8">
        <v>0</v>
      </c>
      <c r="N110" s="8">
        <v>81</v>
      </c>
      <c r="O110" s="10"/>
      <c r="P110" s="11">
        <v>0</v>
      </c>
      <c r="Q110" s="11">
        <v>0</v>
      </c>
      <c r="R110" s="12">
        <v>0</v>
      </c>
      <c r="S110" s="13">
        <f t="shared" si="7"/>
        <v>482</v>
      </c>
      <c r="T110" s="13">
        <v>66</v>
      </c>
      <c r="U110" s="13">
        <v>310</v>
      </c>
      <c r="V110" s="13">
        <v>106</v>
      </c>
      <c r="W110" s="13">
        <v>21</v>
      </c>
      <c r="X110" s="14">
        <v>46262.114583333343</v>
      </c>
      <c r="Y110" s="14">
        <v>46262.463888888888</v>
      </c>
      <c r="Z110" s="13">
        <v>5</v>
      </c>
      <c r="AA110" s="15">
        <v>1618.4747839066999</v>
      </c>
    </row>
    <row r="111" spans="1:27" x14ac:dyDescent="0.2">
      <c r="A111" s="2">
        <v>46263</v>
      </c>
      <c r="B111" s="3" t="s">
        <v>72</v>
      </c>
      <c r="C111" s="4">
        <f t="shared" si="6"/>
        <v>46258</v>
      </c>
      <c r="D111" s="5">
        <v>346</v>
      </c>
      <c r="E111" s="6">
        <v>0.224</v>
      </c>
      <c r="F111" s="6">
        <v>0.19500000000000001</v>
      </c>
      <c r="G111" s="5">
        <v>30</v>
      </c>
      <c r="H111" s="7">
        <v>9</v>
      </c>
      <c r="I111" s="8">
        <v>41</v>
      </c>
      <c r="J111" s="9">
        <v>53.665565648224607</v>
      </c>
      <c r="K111" s="8">
        <v>102</v>
      </c>
      <c r="L111" s="9">
        <v>45.208588957055213</v>
      </c>
      <c r="M111" s="8">
        <v>0</v>
      </c>
      <c r="N111" s="8">
        <v>81</v>
      </c>
      <c r="O111" s="10"/>
      <c r="P111" s="11">
        <v>0</v>
      </c>
      <c r="Q111" s="11">
        <v>0</v>
      </c>
      <c r="R111" s="12">
        <v>0</v>
      </c>
      <c r="S111" s="13">
        <f t="shared" si="7"/>
        <v>488</v>
      </c>
      <c r="T111" s="13">
        <v>49</v>
      </c>
      <c r="U111" s="13">
        <v>317</v>
      </c>
      <c r="V111" s="13">
        <v>122</v>
      </c>
      <c r="W111" s="13">
        <v>10</v>
      </c>
      <c r="X111" s="14">
        <v>46263.107638888891</v>
      </c>
      <c r="Y111" s="14">
        <v>46263.453472222223</v>
      </c>
      <c r="Z111" s="13">
        <v>0</v>
      </c>
      <c r="AA111" s="15">
        <v>1607.284052845547</v>
      </c>
    </row>
    <row r="112" spans="1:27" x14ac:dyDescent="0.2">
      <c r="A112" s="2">
        <v>46264</v>
      </c>
      <c r="B112" s="3" t="s">
        <v>72</v>
      </c>
      <c r="C112" s="4">
        <f t="shared" si="6"/>
        <v>46258</v>
      </c>
      <c r="D112" s="5">
        <v>11086</v>
      </c>
      <c r="E112" s="6">
        <v>8.3780000000000001</v>
      </c>
      <c r="F112" s="6">
        <v>6.4219999999999997</v>
      </c>
      <c r="G112" s="5">
        <v>1157</v>
      </c>
      <c r="H112" s="7">
        <v>164</v>
      </c>
      <c r="I112" s="8">
        <v>41</v>
      </c>
      <c r="J112" s="9">
        <v>67.117521367521363</v>
      </c>
      <c r="K112" s="8">
        <v>172</v>
      </c>
      <c r="L112" s="9">
        <v>46.200819672131153</v>
      </c>
      <c r="M112" s="8">
        <v>46</v>
      </c>
      <c r="N112" s="8">
        <v>81</v>
      </c>
      <c r="O112" s="10" t="s">
        <v>97</v>
      </c>
      <c r="P112" s="11">
        <v>3</v>
      </c>
      <c r="Q112" s="11">
        <v>127.9</v>
      </c>
      <c r="R112" s="12">
        <v>962.63995361328125</v>
      </c>
      <c r="S112" s="13">
        <f t="shared" si="7"/>
        <v>369</v>
      </c>
      <c r="T112" s="13">
        <v>106</v>
      </c>
      <c r="U112" s="13">
        <v>198</v>
      </c>
      <c r="V112" s="13">
        <v>65</v>
      </c>
      <c r="W112" s="13">
        <v>7</v>
      </c>
      <c r="X112" s="14">
        <v>46264.015277777777</v>
      </c>
      <c r="Y112" s="14">
        <v>46264.276388888888</v>
      </c>
      <c r="Z112" s="13">
        <v>8</v>
      </c>
      <c r="AA112" s="15">
        <v>2924.1122758462252</v>
      </c>
    </row>
    <row r="113" spans="1:27" x14ac:dyDescent="0.2">
      <c r="A113" s="2">
        <v>46265</v>
      </c>
      <c r="B113" s="3" t="s">
        <v>72</v>
      </c>
      <c r="C113" s="4">
        <f t="shared" si="6"/>
        <v>46265</v>
      </c>
      <c r="D113" s="5">
        <v>4653</v>
      </c>
      <c r="E113" s="6">
        <v>3.149</v>
      </c>
      <c r="F113" s="6">
        <v>2.5</v>
      </c>
      <c r="G113" s="5">
        <v>187</v>
      </c>
      <c r="H113" s="7">
        <v>117</v>
      </c>
      <c r="I113" s="8">
        <v>42</v>
      </c>
      <c r="J113" s="9">
        <v>59.360759493670876</v>
      </c>
      <c r="K113" s="8">
        <v>101</v>
      </c>
      <c r="L113" s="9">
        <v>50.152380952380952</v>
      </c>
      <c r="M113" s="8">
        <v>0</v>
      </c>
      <c r="N113" s="8">
        <v>81</v>
      </c>
      <c r="O113" s="10"/>
      <c r="P113" s="11">
        <v>0</v>
      </c>
      <c r="Q113" s="11">
        <v>0</v>
      </c>
      <c r="R113" s="12">
        <v>0</v>
      </c>
      <c r="S113" s="13">
        <f t="shared" si="7"/>
        <v>364</v>
      </c>
      <c r="T113" s="13">
        <v>69</v>
      </c>
      <c r="U113" s="13">
        <v>222</v>
      </c>
      <c r="V113" s="13">
        <v>73</v>
      </c>
      <c r="W113" s="13">
        <v>12</v>
      </c>
      <c r="X113" s="14">
        <v>46265.057638888888</v>
      </c>
      <c r="Y113" s="14">
        <v>46265.318749999999</v>
      </c>
      <c r="Z113" s="13">
        <v>3</v>
      </c>
      <c r="AA113" s="15">
        <v>1804.0125372552859</v>
      </c>
    </row>
    <row r="114" spans="1:27" x14ac:dyDescent="0.2">
      <c r="A114" s="2">
        <v>46266</v>
      </c>
      <c r="B114" s="3" t="s">
        <v>72</v>
      </c>
      <c r="C114" s="4">
        <f t="shared" si="6"/>
        <v>46265</v>
      </c>
      <c r="D114" s="5">
        <v>3377</v>
      </c>
      <c r="E114" s="6">
        <v>2.2549999999999999</v>
      </c>
      <c r="F114" s="6">
        <v>1.8819999999999999</v>
      </c>
      <c r="G114" s="5">
        <v>156</v>
      </c>
      <c r="H114" s="7">
        <v>42</v>
      </c>
      <c r="I114" s="8">
        <v>43</v>
      </c>
      <c r="J114" s="9">
        <v>58.677777777777777</v>
      </c>
      <c r="K114" s="8">
        <v>121</v>
      </c>
      <c r="L114" s="9">
        <v>49.710526315789473</v>
      </c>
      <c r="M114" s="8">
        <v>0</v>
      </c>
      <c r="N114" s="8">
        <v>83</v>
      </c>
      <c r="O114" s="10"/>
      <c r="P114" s="11">
        <v>0</v>
      </c>
      <c r="Q114" s="11">
        <v>0</v>
      </c>
      <c r="R114" s="12">
        <v>0</v>
      </c>
      <c r="S114" s="13">
        <f t="shared" si="7"/>
        <v>257</v>
      </c>
      <c r="T114" s="13">
        <v>40</v>
      </c>
      <c r="U114" s="13">
        <v>152</v>
      </c>
      <c r="V114" s="13">
        <v>65</v>
      </c>
      <c r="W114" s="13">
        <v>8</v>
      </c>
      <c r="X114" s="14">
        <v>46266.123611111107</v>
      </c>
      <c r="Y114" s="14">
        <v>46266.307638888888</v>
      </c>
      <c r="Z114" s="13">
        <v>9</v>
      </c>
      <c r="AA114" s="15">
        <v>1745.729382830669</v>
      </c>
    </row>
    <row r="115" spans="1:27" x14ac:dyDescent="0.2">
      <c r="A115" s="2">
        <v>46267</v>
      </c>
      <c r="B115" s="3" t="s">
        <v>72</v>
      </c>
      <c r="C115" s="4">
        <f t="shared" si="6"/>
        <v>46265</v>
      </c>
      <c r="D115" s="5">
        <v>7257</v>
      </c>
      <c r="E115" s="6">
        <v>5.1180000000000003</v>
      </c>
      <c r="F115" s="6">
        <v>3.9279999999999999</v>
      </c>
      <c r="G115" s="5">
        <v>726</v>
      </c>
      <c r="H115" s="7">
        <v>104</v>
      </c>
      <c r="I115" s="8">
        <v>41</v>
      </c>
      <c r="J115" s="9">
        <v>60.329105003523608</v>
      </c>
      <c r="K115" s="8">
        <v>174</v>
      </c>
      <c r="L115" s="9">
        <v>45.475471698113211</v>
      </c>
      <c r="M115" s="8">
        <v>46</v>
      </c>
      <c r="N115" s="8">
        <v>83</v>
      </c>
      <c r="O115" s="10" t="s">
        <v>98</v>
      </c>
      <c r="P115" s="11">
        <v>1</v>
      </c>
      <c r="Q115" s="11">
        <v>54.366666666666667</v>
      </c>
      <c r="R115" s="12">
        <v>588</v>
      </c>
      <c r="S115" s="13">
        <f t="shared" si="7"/>
        <v>298</v>
      </c>
      <c r="T115" s="13">
        <v>56</v>
      </c>
      <c r="U115" s="13">
        <v>170</v>
      </c>
      <c r="V115" s="13">
        <v>72</v>
      </c>
      <c r="W115" s="13">
        <v>12</v>
      </c>
      <c r="X115" s="14">
        <v>46267.093055555553</v>
      </c>
      <c r="Y115" s="14">
        <v>46267.308333333327</v>
      </c>
      <c r="Z115" s="13">
        <v>9</v>
      </c>
      <c r="AA115" s="15">
        <v>2510.9540216766841</v>
      </c>
    </row>
    <row r="116" spans="1:27" x14ac:dyDescent="0.2">
      <c r="A116" s="2">
        <v>46268</v>
      </c>
      <c r="B116" s="3" t="s">
        <v>72</v>
      </c>
      <c r="C116" s="4">
        <f t="shared" si="6"/>
        <v>46265</v>
      </c>
      <c r="D116" s="5">
        <v>8822</v>
      </c>
      <c r="E116" s="6">
        <v>6.8869999999999996</v>
      </c>
      <c r="F116" s="6">
        <v>5.4580000000000002</v>
      </c>
      <c r="G116" s="5">
        <v>767</v>
      </c>
      <c r="H116" s="7">
        <v>188</v>
      </c>
      <c r="I116" s="8">
        <v>40</v>
      </c>
      <c r="J116" s="9">
        <v>61.785267546907583</v>
      </c>
      <c r="K116" s="8">
        <v>182</v>
      </c>
      <c r="L116" s="9">
        <v>45.336448598130843</v>
      </c>
      <c r="M116" s="8">
        <v>23</v>
      </c>
      <c r="N116" s="8">
        <v>83</v>
      </c>
      <c r="O116" s="10" t="s">
        <v>99</v>
      </c>
      <c r="P116" s="11">
        <v>2</v>
      </c>
      <c r="Q116" s="11">
        <v>96.483333333333334</v>
      </c>
      <c r="R116" s="12">
        <v>595</v>
      </c>
      <c r="S116" s="13">
        <f t="shared" si="7"/>
        <v>285</v>
      </c>
      <c r="T116" s="13">
        <v>56</v>
      </c>
      <c r="U116" s="13">
        <v>139</v>
      </c>
      <c r="V116" s="13">
        <v>90</v>
      </c>
      <c r="W116" s="13">
        <v>5</v>
      </c>
      <c r="X116" s="14">
        <v>46268.040277777778</v>
      </c>
      <c r="Y116" s="14">
        <v>46268.241666666669</v>
      </c>
      <c r="Z116" s="13">
        <v>9</v>
      </c>
      <c r="AA116" s="15">
        <v>2589.43767110813</v>
      </c>
    </row>
    <row r="117" spans="1:27" x14ac:dyDescent="0.2">
      <c r="A117" s="2">
        <v>46269</v>
      </c>
      <c r="B117" s="3" t="s">
        <v>72</v>
      </c>
      <c r="C117" s="4">
        <f t="shared" si="6"/>
        <v>46265</v>
      </c>
      <c r="D117" s="5">
        <v>2191</v>
      </c>
      <c r="E117" s="6">
        <v>1.423</v>
      </c>
      <c r="F117" s="6">
        <v>1.222</v>
      </c>
      <c r="G117" s="5">
        <v>246</v>
      </c>
      <c r="H117" s="7">
        <v>74</v>
      </c>
      <c r="I117" s="8">
        <v>40</v>
      </c>
      <c r="J117" s="9">
        <v>55.974892395982778</v>
      </c>
      <c r="K117" s="8">
        <v>108</v>
      </c>
      <c r="L117" s="9">
        <v>45.534883720930232</v>
      </c>
      <c r="M117" s="8">
        <v>0</v>
      </c>
      <c r="N117" s="8">
        <v>83</v>
      </c>
      <c r="O117" s="10" t="s">
        <v>57</v>
      </c>
      <c r="P117" s="11">
        <v>1</v>
      </c>
      <c r="Q117" s="11">
        <v>69.283333333333331</v>
      </c>
      <c r="R117" s="12">
        <v>171</v>
      </c>
      <c r="S117" s="13">
        <f t="shared" si="7"/>
        <v>460</v>
      </c>
      <c r="T117" s="13">
        <v>75</v>
      </c>
      <c r="U117" s="13">
        <v>291</v>
      </c>
      <c r="V117" s="13">
        <v>94</v>
      </c>
      <c r="W117" s="13">
        <v>139</v>
      </c>
      <c r="X117" s="14">
        <v>46269.12222222222</v>
      </c>
      <c r="Y117" s="14">
        <v>46269.538194444453</v>
      </c>
      <c r="Z117" s="13">
        <v>0</v>
      </c>
      <c r="AA117" s="15">
        <v>1862.5571092040259</v>
      </c>
    </row>
    <row r="118" spans="1:27" x14ac:dyDescent="0.2">
      <c r="A118" s="2">
        <v>46270</v>
      </c>
      <c r="B118" s="3" t="s">
        <v>72</v>
      </c>
      <c r="C118" s="4">
        <f t="shared" si="6"/>
        <v>46265</v>
      </c>
      <c r="D118" s="5">
        <v>8265</v>
      </c>
      <c r="E118" s="6">
        <v>5.6230000000000002</v>
      </c>
      <c r="F118" s="6">
        <v>4.4809999999999999</v>
      </c>
      <c r="G118" s="5">
        <v>1202</v>
      </c>
      <c r="H118" s="7">
        <v>202</v>
      </c>
      <c r="I118" s="8">
        <v>40</v>
      </c>
      <c r="J118" s="9">
        <v>67.015463917525778</v>
      </c>
      <c r="K118" s="8">
        <v>176</v>
      </c>
      <c r="L118" s="9">
        <v>48.876640419947513</v>
      </c>
      <c r="M118" s="8">
        <v>47</v>
      </c>
      <c r="N118" s="8">
        <v>83</v>
      </c>
      <c r="O118" s="10" t="s">
        <v>100</v>
      </c>
      <c r="P118" s="11">
        <v>2</v>
      </c>
      <c r="Q118" s="11">
        <v>129.35</v>
      </c>
      <c r="R118" s="12">
        <v>1051</v>
      </c>
      <c r="S118" s="13">
        <f t="shared" si="7"/>
        <v>373</v>
      </c>
      <c r="T118" s="13">
        <v>68</v>
      </c>
      <c r="U118" s="13">
        <v>234</v>
      </c>
      <c r="V118" s="13">
        <v>71</v>
      </c>
      <c r="W118" s="13">
        <v>7</v>
      </c>
      <c r="X118" s="14">
        <v>46270.128472222219</v>
      </c>
      <c r="Y118" s="14">
        <v>46270.392361111109</v>
      </c>
      <c r="Z118" s="13">
        <v>7</v>
      </c>
      <c r="AA118" s="15">
        <v>3019.9958866139991</v>
      </c>
    </row>
    <row r="119" spans="1:27" x14ac:dyDescent="0.2">
      <c r="A119" s="2">
        <v>46271</v>
      </c>
      <c r="B119" s="3" t="s">
        <v>72</v>
      </c>
      <c r="C119" s="4">
        <f t="shared" si="6"/>
        <v>46265</v>
      </c>
      <c r="D119" s="5">
        <v>12593</v>
      </c>
      <c r="E119" s="6">
        <v>10.151999999999999</v>
      </c>
      <c r="F119" s="6">
        <v>7.6660000000000004</v>
      </c>
      <c r="G119" s="5">
        <v>743</v>
      </c>
      <c r="H119" s="7">
        <v>196</v>
      </c>
      <c r="I119" s="8">
        <v>40</v>
      </c>
      <c r="J119" s="9">
        <v>61.546597633136088</v>
      </c>
      <c r="K119" s="8">
        <v>176</v>
      </c>
      <c r="L119" s="9">
        <v>45.932432432432442</v>
      </c>
      <c r="M119" s="8">
        <v>34</v>
      </c>
      <c r="N119" s="8">
        <v>83</v>
      </c>
      <c r="O119" s="10" t="s">
        <v>101</v>
      </c>
      <c r="P119" s="11">
        <v>1</v>
      </c>
      <c r="Q119" s="11">
        <v>41.516666666666673</v>
      </c>
      <c r="R119" s="12">
        <v>458.37411499023438</v>
      </c>
      <c r="S119" s="13">
        <f t="shared" si="7"/>
        <v>288</v>
      </c>
      <c r="T119" s="13">
        <v>70</v>
      </c>
      <c r="U119" s="13">
        <v>154</v>
      </c>
      <c r="V119" s="13">
        <v>64</v>
      </c>
      <c r="W119" s="13">
        <v>5</v>
      </c>
      <c r="X119" s="14">
        <v>46271.027083333327</v>
      </c>
      <c r="Y119" s="14">
        <v>46271.230555555558</v>
      </c>
      <c r="Z119" s="13">
        <v>12</v>
      </c>
      <c r="AA119" s="15">
        <v>2343.560234986478</v>
      </c>
    </row>
    <row r="120" spans="1:27" x14ac:dyDescent="0.2">
      <c r="A120" s="2">
        <v>46272</v>
      </c>
      <c r="B120" s="3" t="s">
        <v>72</v>
      </c>
      <c r="C120" s="4">
        <f t="shared" si="6"/>
        <v>46272</v>
      </c>
      <c r="D120" s="5">
        <v>3474</v>
      </c>
      <c r="E120" s="6">
        <v>2.3039999999999998</v>
      </c>
      <c r="F120" s="6">
        <v>1.8919999999999999</v>
      </c>
      <c r="G120" s="5">
        <v>155</v>
      </c>
      <c r="H120" s="7">
        <v>60</v>
      </c>
      <c r="I120" s="8">
        <v>40</v>
      </c>
      <c r="J120" s="9">
        <v>54.670833333333327</v>
      </c>
      <c r="K120" s="8">
        <v>109</v>
      </c>
      <c r="L120" s="9">
        <v>47.963800904977383</v>
      </c>
      <c r="M120" s="8">
        <v>0</v>
      </c>
      <c r="N120" s="8">
        <v>83</v>
      </c>
      <c r="O120" s="10"/>
      <c r="P120" s="11">
        <v>0</v>
      </c>
      <c r="Q120" s="11">
        <v>0</v>
      </c>
      <c r="R120" s="12">
        <v>0</v>
      </c>
      <c r="S120" s="13">
        <f t="shared" si="7"/>
        <v>292</v>
      </c>
      <c r="T120" s="13">
        <v>50</v>
      </c>
      <c r="U120" s="13">
        <v>197</v>
      </c>
      <c r="V120" s="13">
        <v>45</v>
      </c>
      <c r="W120" s="13">
        <v>14</v>
      </c>
      <c r="X120" s="14">
        <v>46272.07708333333</v>
      </c>
      <c r="Y120" s="14">
        <v>46272.289583333331</v>
      </c>
      <c r="Z120" s="13">
        <v>11</v>
      </c>
      <c r="AA120" s="15">
        <v>1750.159998801819</v>
      </c>
    </row>
    <row r="121" spans="1:27" x14ac:dyDescent="0.2">
      <c r="A121" s="2">
        <v>46273</v>
      </c>
      <c r="B121" s="3" t="s">
        <v>72</v>
      </c>
      <c r="C121" s="4">
        <f t="shared" si="6"/>
        <v>46272</v>
      </c>
      <c r="D121" s="5">
        <v>14194</v>
      </c>
      <c r="E121" s="6">
        <v>11.927</v>
      </c>
      <c r="F121" s="6">
        <v>9.1370000000000005</v>
      </c>
      <c r="G121" s="5">
        <v>1226</v>
      </c>
      <c r="H121" s="7">
        <v>186</v>
      </c>
      <c r="I121" s="8">
        <v>40</v>
      </c>
      <c r="J121" s="9">
        <v>70.978080120937264</v>
      </c>
      <c r="K121" s="8">
        <v>180</v>
      </c>
      <c r="L121" s="9">
        <v>42.157894736842103</v>
      </c>
      <c r="M121" s="8">
        <v>52</v>
      </c>
      <c r="N121" s="8">
        <v>83</v>
      </c>
      <c r="O121" s="10" t="s">
        <v>102</v>
      </c>
      <c r="P121" s="11">
        <v>2</v>
      </c>
      <c r="Q121" s="11">
        <v>120.76666666666669</v>
      </c>
      <c r="R121" s="12">
        <v>965.62335205078125</v>
      </c>
      <c r="S121" s="13">
        <f t="shared" si="7"/>
        <v>332</v>
      </c>
      <c r="T121" s="13">
        <v>59</v>
      </c>
      <c r="U121" s="13">
        <v>188</v>
      </c>
      <c r="V121" s="13">
        <v>85</v>
      </c>
      <c r="W121" s="13">
        <v>31</v>
      </c>
      <c r="X121" s="14">
        <v>46272.956250000003</v>
      </c>
      <c r="Y121" s="14">
        <v>46273.208333333343</v>
      </c>
      <c r="Z121" s="13">
        <v>7</v>
      </c>
      <c r="AA121" s="15">
        <v>2763.808878905128</v>
      </c>
    </row>
    <row r="122" spans="1:27" x14ac:dyDescent="0.2">
      <c r="A122" s="2">
        <v>46274</v>
      </c>
      <c r="B122" s="3" t="s">
        <v>72</v>
      </c>
      <c r="C122" s="4">
        <f t="shared" si="6"/>
        <v>46272</v>
      </c>
      <c r="D122" s="5">
        <v>6205</v>
      </c>
      <c r="E122" s="6">
        <v>4.1159999999999997</v>
      </c>
      <c r="F122" s="6">
        <v>3.46</v>
      </c>
      <c r="G122" s="5">
        <v>330</v>
      </c>
      <c r="H122" s="7">
        <v>201</v>
      </c>
      <c r="I122" s="8">
        <v>44</v>
      </c>
      <c r="J122" s="9">
        <v>62.161917998610143</v>
      </c>
      <c r="K122" s="8">
        <v>139</v>
      </c>
      <c r="L122" s="9">
        <v>50.528925619834709</v>
      </c>
      <c r="M122" s="8">
        <v>0</v>
      </c>
      <c r="N122" s="8">
        <v>83</v>
      </c>
      <c r="O122" s="10" t="s">
        <v>103</v>
      </c>
      <c r="P122" s="11">
        <v>1</v>
      </c>
      <c r="Q122" s="11">
        <v>42.55</v>
      </c>
      <c r="R122" s="12">
        <v>91</v>
      </c>
      <c r="S122" s="13">
        <f t="shared" si="7"/>
        <v>237</v>
      </c>
      <c r="T122" s="13">
        <v>56</v>
      </c>
      <c r="U122" s="13">
        <v>137</v>
      </c>
      <c r="V122" s="13">
        <v>44</v>
      </c>
      <c r="W122" s="13">
        <v>5</v>
      </c>
      <c r="X122" s="14">
        <v>46274.124305555553</v>
      </c>
      <c r="Y122" s="14">
        <v>46274.292361111111</v>
      </c>
      <c r="Z122" s="13">
        <v>9</v>
      </c>
      <c r="AA122" s="15">
        <v>1965.9023927936919</v>
      </c>
    </row>
    <row r="123" spans="1:27" x14ac:dyDescent="0.2">
      <c r="A123" s="2">
        <v>46275</v>
      </c>
      <c r="B123" s="3" t="s">
        <v>72</v>
      </c>
      <c r="C123" s="4">
        <f t="shared" si="6"/>
        <v>46272</v>
      </c>
      <c r="D123" s="5">
        <v>11016</v>
      </c>
      <c r="E123" s="6">
        <v>8.4849999999999994</v>
      </c>
      <c r="F123" s="6">
        <v>6.6619999999999999</v>
      </c>
      <c r="G123" s="5">
        <v>1391</v>
      </c>
      <c r="H123" s="7">
        <v>225</v>
      </c>
      <c r="I123" s="8">
        <v>40</v>
      </c>
      <c r="J123" s="9">
        <v>66.494009866102886</v>
      </c>
      <c r="K123" s="8">
        <v>170</v>
      </c>
      <c r="L123" s="9">
        <v>46.392561983471083</v>
      </c>
      <c r="M123" s="8">
        <v>62</v>
      </c>
      <c r="N123" s="8">
        <v>83</v>
      </c>
      <c r="O123" s="10" t="s">
        <v>104</v>
      </c>
      <c r="P123" s="11">
        <v>3</v>
      </c>
      <c r="Q123" s="11">
        <v>147.58333333333329</v>
      </c>
      <c r="R123" s="12">
        <v>1232</v>
      </c>
      <c r="S123" s="13">
        <f t="shared" si="7"/>
        <v>467</v>
      </c>
      <c r="T123" s="13">
        <v>75</v>
      </c>
      <c r="U123" s="13">
        <v>286</v>
      </c>
      <c r="V123" s="13">
        <v>106</v>
      </c>
      <c r="W123" s="13">
        <v>11</v>
      </c>
      <c r="X123" s="14">
        <v>46275.115972222222</v>
      </c>
      <c r="Y123" s="14">
        <v>46275.447916666657</v>
      </c>
      <c r="Z123" s="13">
        <v>5</v>
      </c>
      <c r="AA123" s="15">
        <v>3326.6518096720888</v>
      </c>
    </row>
    <row r="124" spans="1:27" x14ac:dyDescent="0.2">
      <c r="A124" s="2">
        <v>46276</v>
      </c>
      <c r="B124" s="3" t="s">
        <v>72</v>
      </c>
      <c r="C124" s="4">
        <f t="shared" si="6"/>
        <v>46272</v>
      </c>
      <c r="D124" s="5">
        <v>2881</v>
      </c>
      <c r="E124" s="6">
        <v>1.9159999999999999</v>
      </c>
      <c r="F124" s="6">
        <v>1.6080000000000001</v>
      </c>
      <c r="G124" s="5">
        <v>125</v>
      </c>
      <c r="H124" s="7">
        <v>39</v>
      </c>
      <c r="I124" s="8">
        <v>42</v>
      </c>
      <c r="J124" s="9">
        <v>55.979861111111113</v>
      </c>
      <c r="K124" s="8">
        <v>108</v>
      </c>
      <c r="L124" s="9">
        <v>50.968253968253968</v>
      </c>
      <c r="M124" s="8">
        <v>0</v>
      </c>
      <c r="N124" s="8">
        <v>83</v>
      </c>
      <c r="O124" s="10"/>
      <c r="P124" s="11">
        <v>0</v>
      </c>
      <c r="Q124" s="11">
        <v>0</v>
      </c>
      <c r="R124" s="12">
        <v>0</v>
      </c>
      <c r="S124" s="13">
        <f t="shared" si="7"/>
        <v>249</v>
      </c>
      <c r="T124" s="13">
        <v>66</v>
      </c>
      <c r="U124" s="13">
        <v>127</v>
      </c>
      <c r="V124" s="13">
        <v>56</v>
      </c>
      <c r="W124" s="13">
        <v>2</v>
      </c>
      <c r="X124" s="14">
        <v>46276.115972222222</v>
      </c>
      <c r="Y124" s="14">
        <v>46276.290277777778</v>
      </c>
      <c r="Z124" s="13">
        <v>7</v>
      </c>
      <c r="AA124" s="15">
        <v>1723.0738619884969</v>
      </c>
    </row>
    <row r="125" spans="1:27" x14ac:dyDescent="0.2">
      <c r="A125" s="2">
        <v>46277</v>
      </c>
      <c r="B125" s="3" t="s">
        <v>72</v>
      </c>
      <c r="C125" s="4">
        <f t="shared" si="6"/>
        <v>46272</v>
      </c>
      <c r="D125" s="5">
        <v>13159</v>
      </c>
      <c r="E125" s="6">
        <v>8.9930000000000003</v>
      </c>
      <c r="F125" s="6">
        <v>7.2240000000000002</v>
      </c>
      <c r="G125" s="5">
        <v>1289</v>
      </c>
      <c r="H125" s="7">
        <v>329</v>
      </c>
      <c r="I125" s="8">
        <v>40</v>
      </c>
      <c r="J125" s="9">
        <v>69.31533477321814</v>
      </c>
      <c r="K125" s="8">
        <v>179</v>
      </c>
      <c r="L125" s="9">
        <v>43.454545454545453</v>
      </c>
      <c r="M125" s="8">
        <v>28</v>
      </c>
      <c r="N125" s="8">
        <v>83</v>
      </c>
      <c r="O125" s="10" t="s">
        <v>105</v>
      </c>
      <c r="P125" s="11">
        <v>2</v>
      </c>
      <c r="Q125" s="11">
        <v>144.69999999999999</v>
      </c>
      <c r="R125" s="12">
        <v>968</v>
      </c>
      <c r="S125" s="13">
        <f t="shared" si="7"/>
        <v>232</v>
      </c>
      <c r="T125" s="13">
        <v>65</v>
      </c>
      <c r="U125" s="13">
        <v>133</v>
      </c>
      <c r="V125" s="13">
        <v>34</v>
      </c>
      <c r="W125" s="13">
        <v>12</v>
      </c>
      <c r="X125" s="14">
        <v>46277.052777777782</v>
      </c>
      <c r="Y125" s="14">
        <v>46277.222222222219</v>
      </c>
      <c r="Z125" s="13">
        <v>10</v>
      </c>
      <c r="AA125" s="15">
        <v>3160.536449117194</v>
      </c>
    </row>
    <row r="126" spans="1:27" x14ac:dyDescent="0.2">
      <c r="A126" s="2">
        <v>46278</v>
      </c>
      <c r="B126" s="3" t="s">
        <v>72</v>
      </c>
      <c r="C126" s="4">
        <f t="shared" si="6"/>
        <v>46272</v>
      </c>
      <c r="D126" s="5">
        <v>15382</v>
      </c>
      <c r="E126" s="6">
        <v>11.55</v>
      </c>
      <c r="F126" s="6">
        <v>8.8320000000000007</v>
      </c>
      <c r="G126" s="5">
        <v>1339</v>
      </c>
      <c r="H126" s="7">
        <v>235</v>
      </c>
      <c r="I126" s="8">
        <v>43</v>
      </c>
      <c r="J126" s="9">
        <v>71.630801687763707</v>
      </c>
      <c r="K126" s="8">
        <v>180</v>
      </c>
      <c r="L126" s="9">
        <v>53.403726708074537</v>
      </c>
      <c r="M126" s="8">
        <v>66</v>
      </c>
      <c r="N126" s="8">
        <v>83</v>
      </c>
      <c r="O126" s="10" t="s">
        <v>106</v>
      </c>
      <c r="P126" s="11">
        <v>1</v>
      </c>
      <c r="Q126" s="11">
        <v>106.56666666666671</v>
      </c>
      <c r="R126" s="12">
        <v>1081</v>
      </c>
      <c r="S126" s="13">
        <f t="shared" si="7"/>
        <v>241</v>
      </c>
      <c r="T126" s="13">
        <v>67</v>
      </c>
      <c r="U126" s="13">
        <v>112</v>
      </c>
      <c r="V126" s="13">
        <v>62</v>
      </c>
      <c r="W126" s="13">
        <v>6</v>
      </c>
      <c r="X126" s="14">
        <v>46278.11041666667</v>
      </c>
      <c r="Y126" s="14">
        <v>46278.281944444447</v>
      </c>
      <c r="Z126" s="13">
        <v>7</v>
      </c>
      <c r="AA126" s="15">
        <v>3375.075204827167</v>
      </c>
    </row>
    <row r="127" spans="1:27" x14ac:dyDescent="0.2">
      <c r="A127" s="2">
        <v>46279</v>
      </c>
      <c r="B127" s="3" t="s">
        <v>72</v>
      </c>
      <c r="C127" s="4">
        <f t="shared" si="6"/>
        <v>46279</v>
      </c>
      <c r="D127" s="5">
        <v>2586</v>
      </c>
      <c r="E127" s="6">
        <v>1.7050000000000001</v>
      </c>
      <c r="F127" s="6">
        <v>1.4870000000000001</v>
      </c>
      <c r="G127" s="5">
        <v>135</v>
      </c>
      <c r="H127" s="7">
        <v>151</v>
      </c>
      <c r="I127" s="8">
        <v>40</v>
      </c>
      <c r="J127" s="9">
        <v>53.744942196531802</v>
      </c>
      <c r="K127" s="8">
        <v>104</v>
      </c>
      <c r="L127" s="9">
        <v>43.467836257309941</v>
      </c>
      <c r="M127" s="8">
        <v>0</v>
      </c>
      <c r="N127" s="8">
        <v>83</v>
      </c>
      <c r="O127" s="10"/>
      <c r="P127" s="11">
        <v>0</v>
      </c>
      <c r="Q127" s="11">
        <v>0</v>
      </c>
      <c r="R127" s="12">
        <v>0</v>
      </c>
      <c r="S127" s="13">
        <f t="shared" si="7"/>
        <v>422</v>
      </c>
      <c r="T127" s="13">
        <v>75</v>
      </c>
      <c r="U127" s="13">
        <v>253</v>
      </c>
      <c r="V127" s="13">
        <v>94</v>
      </c>
      <c r="W127" s="13">
        <v>9</v>
      </c>
      <c r="X127" s="14">
        <v>46279.154861111107</v>
      </c>
      <c r="Y127" s="14">
        <v>46279.45416666667</v>
      </c>
      <c r="Z127" s="13">
        <v>5</v>
      </c>
      <c r="AA127" s="15">
        <v>1709.5993082618029</v>
      </c>
    </row>
    <row r="128" spans="1:27" x14ac:dyDescent="0.2">
      <c r="A128" s="2">
        <v>46280</v>
      </c>
      <c r="B128" s="3" t="s">
        <v>72</v>
      </c>
      <c r="C128" s="4">
        <f t="shared" si="6"/>
        <v>46279</v>
      </c>
      <c r="D128" s="5">
        <v>4870</v>
      </c>
      <c r="E128" s="6">
        <v>3.2189999999999999</v>
      </c>
      <c r="F128" s="6">
        <v>2.665</v>
      </c>
      <c r="G128" s="5">
        <v>231</v>
      </c>
      <c r="H128" s="7">
        <v>106</v>
      </c>
      <c r="I128" s="8">
        <v>40</v>
      </c>
      <c r="J128" s="9">
        <v>60.150764748725422</v>
      </c>
      <c r="K128" s="8">
        <v>107</v>
      </c>
      <c r="L128" s="9">
        <v>45.719346049046322</v>
      </c>
      <c r="M128" s="8">
        <v>0</v>
      </c>
      <c r="N128" s="8">
        <v>83</v>
      </c>
      <c r="O128" s="10"/>
      <c r="P128" s="11">
        <v>0</v>
      </c>
      <c r="Q128" s="11">
        <v>0</v>
      </c>
      <c r="R128" s="12">
        <v>0</v>
      </c>
      <c r="S128" s="13">
        <f t="shared" si="7"/>
        <v>396</v>
      </c>
      <c r="T128" s="13">
        <v>78</v>
      </c>
      <c r="U128" s="13">
        <v>221</v>
      </c>
      <c r="V128" s="13">
        <v>97</v>
      </c>
      <c r="W128" s="13">
        <v>10</v>
      </c>
      <c r="X128" s="14">
        <v>46280.131944444453</v>
      </c>
      <c r="Y128" s="14">
        <v>46280.413888888892</v>
      </c>
      <c r="Z128" s="13">
        <v>0</v>
      </c>
      <c r="AA128" s="15">
        <v>1813.924327623736</v>
      </c>
    </row>
    <row r="129" spans="1:27" x14ac:dyDescent="0.2">
      <c r="A129" s="2">
        <v>46281</v>
      </c>
      <c r="B129" s="3" t="s">
        <v>72</v>
      </c>
      <c r="C129" s="4">
        <f t="shared" si="6"/>
        <v>46279</v>
      </c>
      <c r="D129" s="5">
        <v>6513</v>
      </c>
      <c r="E129" s="6">
        <v>4.4169999999999998</v>
      </c>
      <c r="F129" s="6">
        <v>3.56</v>
      </c>
      <c r="G129" s="5">
        <v>220</v>
      </c>
      <c r="H129" s="7">
        <v>105</v>
      </c>
      <c r="I129" s="8">
        <v>40</v>
      </c>
      <c r="J129" s="9">
        <v>55.534770514603608</v>
      </c>
      <c r="K129" s="8">
        <v>124</v>
      </c>
      <c r="L129" s="9">
        <v>50.140522875816991</v>
      </c>
      <c r="M129" s="8">
        <v>0</v>
      </c>
      <c r="N129" s="8">
        <v>83</v>
      </c>
      <c r="O129" s="10"/>
      <c r="P129" s="11">
        <v>0</v>
      </c>
      <c r="Q129" s="11">
        <v>0</v>
      </c>
      <c r="R129" s="12">
        <v>0</v>
      </c>
      <c r="S129" s="13">
        <f t="shared" si="7"/>
        <v>392</v>
      </c>
      <c r="T129" s="13">
        <v>90</v>
      </c>
      <c r="U129" s="13">
        <v>234</v>
      </c>
      <c r="V129" s="13">
        <v>68</v>
      </c>
      <c r="W129" s="13">
        <v>14</v>
      </c>
      <c r="X129" s="14">
        <v>46281.061805555553</v>
      </c>
      <c r="Y129" s="14">
        <v>46281.34375</v>
      </c>
      <c r="Z129" s="13">
        <v>5</v>
      </c>
      <c r="AA129" s="15">
        <v>1888.9707404134269</v>
      </c>
    </row>
    <row r="130" spans="1:27" x14ac:dyDescent="0.2">
      <c r="A130" s="2">
        <v>46282</v>
      </c>
      <c r="B130" s="3" t="s">
        <v>72</v>
      </c>
      <c r="C130" s="4">
        <f t="shared" ref="C130:C141" si="8">A130-WEEKDAY(A130,3)</f>
        <v>46279</v>
      </c>
      <c r="D130" s="5">
        <v>7942</v>
      </c>
      <c r="E130" s="6">
        <v>5.49</v>
      </c>
      <c r="F130" s="6">
        <v>4.4850000000000003</v>
      </c>
      <c r="G130" s="5">
        <v>370</v>
      </c>
      <c r="H130" s="7">
        <v>204</v>
      </c>
      <c r="I130" s="8">
        <v>40</v>
      </c>
      <c r="J130" s="9">
        <v>57.145114942528743</v>
      </c>
      <c r="K130" s="8">
        <v>121</v>
      </c>
      <c r="L130" s="9">
        <v>43.360544217687078</v>
      </c>
      <c r="M130" s="8">
        <v>0</v>
      </c>
      <c r="N130" s="8">
        <v>83</v>
      </c>
      <c r="O130" s="10" t="s">
        <v>107</v>
      </c>
      <c r="P130" s="11">
        <v>1</v>
      </c>
      <c r="Q130" s="11">
        <v>33.549999999999997</v>
      </c>
      <c r="R130" s="12">
        <v>95</v>
      </c>
      <c r="S130" s="13">
        <f t="shared" ref="S130:S161" si="9">IF(COUNT(T130:V130)=3,T130+U130+V130,"")</f>
        <v>331</v>
      </c>
      <c r="T130" s="13">
        <v>75</v>
      </c>
      <c r="U130" s="13">
        <v>192</v>
      </c>
      <c r="V130" s="13">
        <v>64</v>
      </c>
      <c r="W130" s="13">
        <v>20</v>
      </c>
      <c r="X130" s="14">
        <v>46282.04583333333</v>
      </c>
      <c r="Y130" s="14">
        <v>46282.289583333331</v>
      </c>
      <c r="Z130" s="13">
        <v>7</v>
      </c>
      <c r="AA130" s="15">
        <v>2049.242392194602</v>
      </c>
    </row>
    <row r="131" spans="1:27" x14ac:dyDescent="0.2">
      <c r="A131" s="2">
        <v>46283</v>
      </c>
      <c r="B131" s="3" t="s">
        <v>72</v>
      </c>
      <c r="C131" s="4">
        <f t="shared" si="8"/>
        <v>46279</v>
      </c>
      <c r="D131" s="5">
        <v>7399</v>
      </c>
      <c r="E131" s="6">
        <v>5.843</v>
      </c>
      <c r="F131" s="6">
        <v>4.391</v>
      </c>
      <c r="G131" s="5">
        <v>655</v>
      </c>
      <c r="H131" s="7">
        <v>112</v>
      </c>
      <c r="I131" s="8">
        <v>40</v>
      </c>
      <c r="J131" s="9">
        <v>59.296047725577928</v>
      </c>
      <c r="K131" s="8">
        <v>168</v>
      </c>
      <c r="L131" s="9">
        <v>46.674603174603178</v>
      </c>
      <c r="M131" s="8">
        <v>26</v>
      </c>
      <c r="N131" s="8">
        <v>83</v>
      </c>
      <c r="O131" s="10" t="s">
        <v>108</v>
      </c>
      <c r="P131" s="11">
        <v>2</v>
      </c>
      <c r="Q131" s="11">
        <v>74.583333333333329</v>
      </c>
      <c r="R131" s="12">
        <v>489</v>
      </c>
      <c r="S131" s="13">
        <f t="shared" si="9"/>
        <v>408</v>
      </c>
      <c r="T131" s="13">
        <v>87</v>
      </c>
      <c r="U131" s="13">
        <v>215</v>
      </c>
      <c r="V131" s="13">
        <v>106</v>
      </c>
      <c r="W131" s="13">
        <v>18</v>
      </c>
      <c r="X131" s="14">
        <v>46283.113888888889</v>
      </c>
      <c r="Y131" s="14">
        <v>46283.409722222219</v>
      </c>
      <c r="Z131" s="13">
        <v>0</v>
      </c>
      <c r="AA131" s="15">
        <v>2418.4400780468209</v>
      </c>
    </row>
    <row r="132" spans="1:27" x14ac:dyDescent="0.2">
      <c r="A132" s="2">
        <v>46284</v>
      </c>
      <c r="B132" s="3" t="s">
        <v>72</v>
      </c>
      <c r="C132" s="4">
        <f t="shared" si="8"/>
        <v>46279</v>
      </c>
      <c r="D132" s="5">
        <v>4720</v>
      </c>
      <c r="E132" s="6">
        <v>3.1949999999999998</v>
      </c>
      <c r="F132" s="6">
        <v>2.5920000000000001</v>
      </c>
      <c r="G132" s="5">
        <v>165</v>
      </c>
      <c r="H132" s="7">
        <v>169</v>
      </c>
      <c r="I132" s="8">
        <v>41</v>
      </c>
      <c r="J132" s="9">
        <v>55.238872403560833</v>
      </c>
      <c r="K132" s="8">
        <v>95</v>
      </c>
      <c r="L132" s="9">
        <v>46.408450704225352</v>
      </c>
      <c r="M132" s="8">
        <v>0</v>
      </c>
      <c r="N132" s="8">
        <v>83</v>
      </c>
      <c r="O132" s="10"/>
      <c r="P132" s="11">
        <v>0</v>
      </c>
      <c r="Q132" s="11">
        <v>0</v>
      </c>
      <c r="R132" s="12">
        <v>0</v>
      </c>
      <c r="S132" s="13">
        <f t="shared" si="9"/>
        <v>590</v>
      </c>
      <c r="T132" s="13">
        <v>55</v>
      </c>
      <c r="U132" s="13">
        <v>398</v>
      </c>
      <c r="V132" s="13">
        <v>137</v>
      </c>
      <c r="W132" s="13">
        <v>29</v>
      </c>
      <c r="X132" s="14">
        <v>46284.065972222219</v>
      </c>
      <c r="Y132" s="14">
        <v>46284.495833333327</v>
      </c>
      <c r="Z132" s="13">
        <v>0</v>
      </c>
      <c r="AA132" s="15">
        <v>1807.072859627111</v>
      </c>
    </row>
    <row r="133" spans="1:27" x14ac:dyDescent="0.2">
      <c r="A133" s="2">
        <v>46285</v>
      </c>
      <c r="B133" s="3" t="s">
        <v>72</v>
      </c>
      <c r="C133" s="4">
        <f t="shared" si="8"/>
        <v>46279</v>
      </c>
      <c r="D133" s="5">
        <v>6521</v>
      </c>
      <c r="E133" s="6">
        <v>4.4450000000000003</v>
      </c>
      <c r="F133" s="6">
        <v>3.6040000000000001</v>
      </c>
      <c r="G133" s="5">
        <v>730</v>
      </c>
      <c r="H133" s="7">
        <v>135</v>
      </c>
      <c r="I133" s="8">
        <v>40</v>
      </c>
      <c r="J133" s="9">
        <v>63.031857031857029</v>
      </c>
      <c r="K133" s="8">
        <v>161</v>
      </c>
      <c r="L133" s="9">
        <v>44.982283464566933</v>
      </c>
      <c r="M133" s="8">
        <v>18</v>
      </c>
      <c r="N133" s="8">
        <v>83</v>
      </c>
      <c r="O133" s="10" t="s">
        <v>109</v>
      </c>
      <c r="P133" s="11">
        <v>1</v>
      </c>
      <c r="Q133" s="11">
        <v>88.2</v>
      </c>
      <c r="R133" s="12">
        <v>597</v>
      </c>
      <c r="S133" s="13">
        <f t="shared" si="9"/>
        <v>551</v>
      </c>
      <c r="T133" s="13">
        <v>82</v>
      </c>
      <c r="U133" s="13">
        <v>337</v>
      </c>
      <c r="V133" s="13">
        <v>132</v>
      </c>
      <c r="W133" s="13">
        <v>16</v>
      </c>
      <c r="X133" s="14">
        <v>46285.13958333333</v>
      </c>
      <c r="Y133" s="14">
        <v>46285.533333333333</v>
      </c>
      <c r="Z133" s="13">
        <v>0</v>
      </c>
      <c r="AA133" s="15">
        <v>2486.3361520399139</v>
      </c>
    </row>
    <row r="134" spans="1:27" x14ac:dyDescent="0.2">
      <c r="A134" s="2">
        <v>46286</v>
      </c>
      <c r="B134" s="3" t="s">
        <v>72</v>
      </c>
      <c r="C134" s="4">
        <f t="shared" si="8"/>
        <v>46286</v>
      </c>
      <c r="D134" s="5">
        <v>7573</v>
      </c>
      <c r="E134" s="6">
        <v>5.9039999999999999</v>
      </c>
      <c r="F134" s="6">
        <v>4.742</v>
      </c>
      <c r="G134" s="5">
        <v>600</v>
      </c>
      <c r="H134" s="7">
        <v>154</v>
      </c>
      <c r="I134" s="8">
        <v>45</v>
      </c>
      <c r="J134" s="9">
        <v>65.677126917712698</v>
      </c>
      <c r="K134" s="8">
        <v>184</v>
      </c>
      <c r="L134" s="9">
        <v>50.850649350649348</v>
      </c>
      <c r="M134" s="8">
        <v>20</v>
      </c>
      <c r="N134" s="8">
        <v>83</v>
      </c>
      <c r="O134" s="10" t="s">
        <v>110</v>
      </c>
      <c r="P134" s="11">
        <v>2</v>
      </c>
      <c r="Q134" s="11">
        <v>68.366666666666674</v>
      </c>
      <c r="R134" s="12">
        <v>397.10342407226562</v>
      </c>
      <c r="S134" s="13">
        <f t="shared" si="9"/>
        <v>285</v>
      </c>
      <c r="T134" s="13">
        <v>68</v>
      </c>
      <c r="U134" s="13">
        <v>159</v>
      </c>
      <c r="V134" s="13">
        <v>58</v>
      </c>
      <c r="W134" s="13">
        <v>10</v>
      </c>
      <c r="X134" s="14">
        <v>46286.040972222218</v>
      </c>
      <c r="Y134" s="14">
        <v>46286.245833333327</v>
      </c>
      <c r="Z134" s="13">
        <v>9</v>
      </c>
      <c r="AA134" s="15">
        <v>2151.959397288279</v>
      </c>
    </row>
    <row r="135" spans="1:27" x14ac:dyDescent="0.2">
      <c r="A135" s="2">
        <v>46287</v>
      </c>
      <c r="B135" s="3" t="s">
        <v>72</v>
      </c>
      <c r="C135" s="4">
        <f t="shared" si="8"/>
        <v>46286</v>
      </c>
      <c r="D135" s="5">
        <v>3034</v>
      </c>
      <c r="E135" s="6">
        <v>2.0499999999999998</v>
      </c>
      <c r="F135" s="6">
        <v>1.645</v>
      </c>
      <c r="G135" s="5">
        <v>131</v>
      </c>
      <c r="H135" s="7">
        <v>67</v>
      </c>
      <c r="I135" s="8">
        <v>40</v>
      </c>
      <c r="J135" s="9">
        <v>55.154437456324253</v>
      </c>
      <c r="K135" s="8">
        <v>108</v>
      </c>
      <c r="L135" s="9">
        <v>46.44274809160305</v>
      </c>
      <c r="M135" s="8">
        <v>0</v>
      </c>
      <c r="N135" s="8">
        <v>83</v>
      </c>
      <c r="O135" s="10"/>
      <c r="P135" s="11">
        <v>0</v>
      </c>
      <c r="Q135" s="11">
        <v>0</v>
      </c>
      <c r="R135" s="12">
        <v>0</v>
      </c>
      <c r="S135" s="13">
        <f t="shared" si="9"/>
        <v>349</v>
      </c>
      <c r="T135" s="13">
        <v>44</v>
      </c>
      <c r="U135" s="13">
        <v>224</v>
      </c>
      <c r="V135" s="13">
        <v>81</v>
      </c>
      <c r="W135" s="13">
        <v>9</v>
      </c>
      <c r="X135" s="14">
        <v>46287.063888888893</v>
      </c>
      <c r="Y135" s="14">
        <v>46287.3125</v>
      </c>
      <c r="Z135" s="13">
        <v>7</v>
      </c>
      <c r="AA135" s="15">
        <v>1730.0623593450539</v>
      </c>
    </row>
    <row r="136" spans="1:27" x14ac:dyDescent="0.2">
      <c r="A136" s="2">
        <v>46288</v>
      </c>
      <c r="B136" s="3" t="s">
        <v>72</v>
      </c>
      <c r="C136" s="4">
        <f t="shared" si="8"/>
        <v>46286</v>
      </c>
      <c r="D136" s="5">
        <v>8123</v>
      </c>
      <c r="E136" s="6">
        <v>5.8650000000000002</v>
      </c>
      <c r="F136" s="6">
        <v>4.5209999999999999</v>
      </c>
      <c r="G136" s="5">
        <v>409</v>
      </c>
      <c r="H136" s="7">
        <v>113</v>
      </c>
      <c r="I136" s="8">
        <v>40</v>
      </c>
      <c r="J136" s="9">
        <v>56.919378698224847</v>
      </c>
      <c r="K136" s="8">
        <v>114</v>
      </c>
      <c r="L136" s="9">
        <v>46.378980891719742</v>
      </c>
      <c r="M136" s="8">
        <v>0</v>
      </c>
      <c r="N136" s="8">
        <v>83</v>
      </c>
      <c r="O136" s="10" t="s">
        <v>111</v>
      </c>
      <c r="P136" s="11">
        <v>1</v>
      </c>
      <c r="Q136" s="11">
        <v>58.216666666666669</v>
      </c>
      <c r="R136" s="12">
        <v>157</v>
      </c>
      <c r="S136" s="13">
        <f t="shared" si="9"/>
        <v>295</v>
      </c>
      <c r="T136" s="13">
        <v>76</v>
      </c>
      <c r="U136" s="13">
        <v>160</v>
      </c>
      <c r="V136" s="13">
        <v>59</v>
      </c>
      <c r="W136" s="13">
        <v>18</v>
      </c>
      <c r="X136" s="14">
        <v>46288.068055555559</v>
      </c>
      <c r="Y136" s="14">
        <v>46288.285416666673</v>
      </c>
      <c r="Z136" s="13">
        <v>5</v>
      </c>
      <c r="AA136" s="15">
        <v>2119.509830243861</v>
      </c>
    </row>
    <row r="137" spans="1:27" x14ac:dyDescent="0.2">
      <c r="A137" s="2">
        <v>46289</v>
      </c>
      <c r="B137" s="3" t="s">
        <v>72</v>
      </c>
      <c r="C137" s="4">
        <f t="shared" si="8"/>
        <v>46286</v>
      </c>
      <c r="D137" s="5">
        <v>13051</v>
      </c>
      <c r="E137" s="6">
        <v>9.8149999999999995</v>
      </c>
      <c r="F137" s="6">
        <v>7.5839999999999996</v>
      </c>
      <c r="G137" s="5">
        <v>1133</v>
      </c>
      <c r="H137" s="7">
        <v>156</v>
      </c>
      <c r="I137" s="8">
        <v>40</v>
      </c>
      <c r="J137" s="9">
        <v>66.008804108584002</v>
      </c>
      <c r="K137" s="8">
        <v>183</v>
      </c>
      <c r="L137" s="9">
        <v>44.597156398104268</v>
      </c>
      <c r="M137" s="8">
        <v>67</v>
      </c>
      <c r="N137" s="8">
        <v>83</v>
      </c>
      <c r="O137" s="10" t="s">
        <v>112</v>
      </c>
      <c r="P137" s="11">
        <v>2</v>
      </c>
      <c r="Q137" s="11">
        <v>78.05</v>
      </c>
      <c r="R137" s="12">
        <v>901.13491821289062</v>
      </c>
      <c r="S137" s="13">
        <f t="shared" si="9"/>
        <v>366</v>
      </c>
      <c r="T137" s="13">
        <v>65</v>
      </c>
      <c r="U137" s="13">
        <v>220</v>
      </c>
      <c r="V137" s="13">
        <v>81</v>
      </c>
      <c r="W137" s="13">
        <v>2</v>
      </c>
      <c r="X137" s="14">
        <v>46288.960416666669</v>
      </c>
      <c r="Y137" s="14">
        <v>46289.21597222222</v>
      </c>
      <c r="Z137" s="13">
        <v>0</v>
      </c>
      <c r="AA137" s="15">
        <v>2923.259045235</v>
      </c>
    </row>
    <row r="138" spans="1:27" x14ac:dyDescent="0.2">
      <c r="A138" s="2">
        <v>46290</v>
      </c>
      <c r="B138" s="3" t="s">
        <v>72</v>
      </c>
      <c r="C138" s="4">
        <f t="shared" si="8"/>
        <v>46286</v>
      </c>
      <c r="D138" s="5">
        <v>7238</v>
      </c>
      <c r="E138" s="6">
        <v>5.0670000000000002</v>
      </c>
      <c r="F138" s="6">
        <v>4.0590000000000002</v>
      </c>
      <c r="G138" s="5">
        <v>420</v>
      </c>
      <c r="H138" s="7">
        <v>115</v>
      </c>
      <c r="I138" s="8">
        <v>40</v>
      </c>
      <c r="J138" s="9">
        <v>56.802846975088968</v>
      </c>
      <c r="K138" s="8">
        <v>114</v>
      </c>
      <c r="L138" s="9">
        <v>44.524509803921568</v>
      </c>
      <c r="M138" s="8">
        <v>0</v>
      </c>
      <c r="N138" s="8">
        <v>83</v>
      </c>
      <c r="O138" s="10" t="s">
        <v>113</v>
      </c>
      <c r="P138" s="11">
        <v>1</v>
      </c>
      <c r="Q138" s="11">
        <v>49.733333333333327</v>
      </c>
      <c r="R138" s="12">
        <v>178</v>
      </c>
      <c r="S138" s="13">
        <f t="shared" si="9"/>
        <v>465</v>
      </c>
      <c r="T138" s="13">
        <v>70</v>
      </c>
      <c r="U138" s="13">
        <v>248</v>
      </c>
      <c r="V138" s="13">
        <v>147</v>
      </c>
      <c r="W138" s="13">
        <v>7</v>
      </c>
      <c r="X138" s="14">
        <v>46290.074305555558</v>
      </c>
      <c r="Y138" s="14">
        <v>46290.402083333327</v>
      </c>
      <c r="Z138" s="13">
        <v>5</v>
      </c>
      <c r="AA138" s="15">
        <v>2100.086169063778</v>
      </c>
    </row>
    <row r="139" spans="1:27" x14ac:dyDescent="0.2">
      <c r="A139" s="2">
        <v>46291</v>
      </c>
      <c r="B139" s="3" t="s">
        <v>72</v>
      </c>
      <c r="C139" s="4">
        <f t="shared" si="8"/>
        <v>46286</v>
      </c>
      <c r="D139" s="5">
        <v>3269</v>
      </c>
      <c r="E139" s="6">
        <v>2.16</v>
      </c>
      <c r="F139" s="6">
        <v>1.8440000000000001</v>
      </c>
      <c r="G139" s="5">
        <v>141</v>
      </c>
      <c r="H139" s="7">
        <v>85</v>
      </c>
      <c r="I139" s="8">
        <v>40</v>
      </c>
      <c r="J139" s="9">
        <v>54.678837555886737</v>
      </c>
      <c r="K139" s="8">
        <v>86</v>
      </c>
      <c r="L139" s="9">
        <v>43.50190114068441</v>
      </c>
      <c r="M139" s="8">
        <v>0</v>
      </c>
      <c r="N139" s="8">
        <v>83</v>
      </c>
      <c r="O139" s="10"/>
      <c r="P139" s="11">
        <v>0</v>
      </c>
      <c r="Q139" s="11">
        <v>0</v>
      </c>
      <c r="R139" s="12">
        <v>0</v>
      </c>
      <c r="S139" s="13">
        <f t="shared" si="9"/>
        <v>349</v>
      </c>
      <c r="T139" s="13">
        <v>43</v>
      </c>
      <c r="U139" s="13">
        <v>222</v>
      </c>
      <c r="V139" s="13">
        <v>84</v>
      </c>
      <c r="W139" s="13">
        <v>10</v>
      </c>
      <c r="X139" s="14">
        <v>46291.081944444442</v>
      </c>
      <c r="Y139" s="14">
        <v>46291.331250000003</v>
      </c>
      <c r="Z139" s="13">
        <v>15</v>
      </c>
      <c r="AA139" s="15">
        <v>1740.796325873099</v>
      </c>
    </row>
    <row r="140" spans="1:27" x14ac:dyDescent="0.2">
      <c r="A140" s="2">
        <v>46292</v>
      </c>
      <c r="B140" s="3" t="s">
        <v>72</v>
      </c>
      <c r="C140" s="4">
        <f t="shared" si="8"/>
        <v>46286</v>
      </c>
      <c r="D140" s="5">
        <v>24771</v>
      </c>
      <c r="E140" s="6">
        <v>20.370999999999999</v>
      </c>
      <c r="F140" s="6">
        <v>15.401</v>
      </c>
      <c r="G140" s="5">
        <v>1607</v>
      </c>
      <c r="H140" s="7">
        <v>300</v>
      </c>
      <c r="I140" s="8">
        <v>41</v>
      </c>
      <c r="J140" s="9">
        <v>74.46461758398857</v>
      </c>
      <c r="K140" s="8">
        <v>164</v>
      </c>
      <c r="L140" s="9">
        <v>48.296943231441048</v>
      </c>
      <c r="M140" s="8">
        <v>106</v>
      </c>
      <c r="N140" s="8">
        <v>83</v>
      </c>
      <c r="O140" s="10" t="s">
        <v>114</v>
      </c>
      <c r="P140" s="11">
        <v>1</v>
      </c>
      <c r="Q140" s="11">
        <v>115.9</v>
      </c>
      <c r="R140" s="12">
        <v>1315.033935546875</v>
      </c>
      <c r="S140" s="13">
        <f t="shared" si="9"/>
        <v>307</v>
      </c>
      <c r="T140" s="13">
        <v>48</v>
      </c>
      <c r="U140" s="13">
        <v>203</v>
      </c>
      <c r="V140" s="13">
        <v>56</v>
      </c>
      <c r="W140" s="13">
        <v>8</v>
      </c>
      <c r="X140" s="14">
        <v>46292.021527777782</v>
      </c>
      <c r="Y140" s="14">
        <v>46292.240277777782</v>
      </c>
      <c r="Z140" s="13">
        <v>0</v>
      </c>
      <c r="AA140" s="15">
        <v>3383.313031104974</v>
      </c>
    </row>
    <row r="141" spans="1:27" x14ac:dyDescent="0.2">
      <c r="A141" s="2">
        <v>46293</v>
      </c>
      <c r="B141" s="3" t="s">
        <v>72</v>
      </c>
      <c r="C141" s="4">
        <f t="shared" si="8"/>
        <v>46293</v>
      </c>
      <c r="D141" s="5">
        <v>8631</v>
      </c>
      <c r="E141" s="6">
        <v>5.9820000000000002</v>
      </c>
      <c r="F141" s="6">
        <v>4.907</v>
      </c>
      <c r="G141" s="5">
        <v>1115</v>
      </c>
      <c r="H141" s="7">
        <v>176</v>
      </c>
      <c r="I141" s="8">
        <v>43</v>
      </c>
      <c r="J141" s="9">
        <v>64.452803406671393</v>
      </c>
      <c r="K141" s="8">
        <v>185</v>
      </c>
      <c r="L141" s="9">
        <v>48.243589743589737</v>
      </c>
      <c r="M141" s="8">
        <v>46</v>
      </c>
      <c r="N141" s="8">
        <v>83</v>
      </c>
      <c r="O141" s="10" t="s">
        <v>115</v>
      </c>
      <c r="P141" s="11">
        <v>1</v>
      </c>
      <c r="Q141" s="11">
        <v>107.2833333333333</v>
      </c>
      <c r="R141" s="12">
        <v>887</v>
      </c>
      <c r="S141" s="13">
        <f t="shared" si="9"/>
        <v>269</v>
      </c>
      <c r="T141" s="13">
        <v>74</v>
      </c>
      <c r="U141" s="13">
        <v>150</v>
      </c>
      <c r="V141" s="13">
        <v>45</v>
      </c>
      <c r="W141" s="13">
        <v>10</v>
      </c>
      <c r="X141" s="14">
        <v>46293.077777777777</v>
      </c>
      <c r="Y141" s="14">
        <v>46293.271527777782</v>
      </c>
      <c r="Z141" s="13">
        <v>7</v>
      </c>
      <c r="AA141" s="15">
        <v>2872.713468525762</v>
      </c>
    </row>
  </sheetData>
  <autoFilter ref="A1:AA14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9" customWidth="1"/>
    <col min="4" max="4" width="28" customWidth="1"/>
    <col min="5" max="5" width="17" customWidth="1"/>
    <col min="6" max="6" width="10" customWidth="1"/>
    <col min="7" max="8" width="11" customWidth="1"/>
    <col min="9" max="10" width="10" customWidth="1"/>
    <col min="11" max="11" width="9" customWidth="1"/>
    <col min="12" max="13" width="10" customWidth="1"/>
  </cols>
  <sheetData>
    <row r="1" spans="1:13" ht="32" customHeight="1" x14ac:dyDescent="0.2">
      <c r="A1" s="1" t="s">
        <v>116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9</v>
      </c>
      <c r="M1" s="1" t="s">
        <v>10</v>
      </c>
    </row>
    <row r="2" spans="1:13" x14ac:dyDescent="0.2">
      <c r="A2" s="4">
        <v>46155</v>
      </c>
      <c r="B2" s="3" t="s">
        <v>27</v>
      </c>
      <c r="C2" s="3">
        <v>52</v>
      </c>
      <c r="D2" s="16" t="s">
        <v>126</v>
      </c>
      <c r="E2" s="17">
        <v>46155.65353009259</v>
      </c>
      <c r="F2" s="3">
        <v>27.7</v>
      </c>
      <c r="G2" s="3"/>
      <c r="H2" s="3"/>
      <c r="I2" s="18" t="str">
        <f t="shared" ref="I2:I33" si="0">IF(AND(G2&gt;=500,H2&gt;0),H2*1000/60,"")</f>
        <v/>
      </c>
      <c r="J2" s="3">
        <v>122</v>
      </c>
      <c r="K2" s="19">
        <f t="shared" ref="K2:K33" si="1">IF(F2&gt;0,J2/F2,"")</f>
        <v>4.4043321299638993</v>
      </c>
      <c r="L2" s="3">
        <v>96.9</v>
      </c>
      <c r="M2" s="3">
        <v>121</v>
      </c>
    </row>
    <row r="3" spans="1:13" x14ac:dyDescent="0.2">
      <c r="A3" s="4">
        <v>46155</v>
      </c>
      <c r="B3" s="3" t="s">
        <v>27</v>
      </c>
      <c r="C3" s="3">
        <v>49</v>
      </c>
      <c r="D3" s="16" t="s">
        <v>127</v>
      </c>
      <c r="E3" s="17">
        <v>46155.720277777778</v>
      </c>
      <c r="F3" s="3">
        <v>93.7</v>
      </c>
      <c r="G3" s="3"/>
      <c r="H3" s="3"/>
      <c r="I3" s="18" t="str">
        <f t="shared" si="0"/>
        <v/>
      </c>
      <c r="J3" s="3">
        <v>1139</v>
      </c>
      <c r="K3" s="19">
        <f t="shared" si="1"/>
        <v>12.15581643543223</v>
      </c>
      <c r="L3" s="3">
        <v>159.80000000000001</v>
      </c>
      <c r="M3" s="3">
        <v>178</v>
      </c>
    </row>
    <row r="4" spans="1:13" x14ac:dyDescent="0.2">
      <c r="A4" s="4">
        <v>46156</v>
      </c>
      <c r="B4" s="3" t="s">
        <v>27</v>
      </c>
      <c r="C4" s="3">
        <v>52</v>
      </c>
      <c r="D4" s="16" t="s">
        <v>126</v>
      </c>
      <c r="E4" s="17">
        <v>46156.784479166658</v>
      </c>
      <c r="F4" s="3">
        <v>55.4</v>
      </c>
      <c r="G4" s="3"/>
      <c r="H4" s="3"/>
      <c r="I4" s="18" t="str">
        <f t="shared" si="0"/>
        <v/>
      </c>
      <c r="J4" s="3">
        <v>257</v>
      </c>
      <c r="K4" s="19">
        <f t="shared" si="1"/>
        <v>4.6389891696750905</v>
      </c>
      <c r="L4" s="3">
        <v>98.6</v>
      </c>
      <c r="M4" s="3">
        <v>125</v>
      </c>
    </row>
    <row r="5" spans="1:13" x14ac:dyDescent="0.2">
      <c r="A5" s="4">
        <v>46157</v>
      </c>
      <c r="B5" s="3" t="s">
        <v>27</v>
      </c>
      <c r="C5" s="3">
        <v>52</v>
      </c>
      <c r="D5" s="16" t="s">
        <v>126</v>
      </c>
      <c r="E5" s="17">
        <v>46157.854108796288</v>
      </c>
      <c r="F5" s="3">
        <v>51.6</v>
      </c>
      <c r="G5" s="3"/>
      <c r="H5" s="3"/>
      <c r="I5" s="18" t="str">
        <f t="shared" si="0"/>
        <v/>
      </c>
      <c r="J5" s="3">
        <v>114</v>
      </c>
      <c r="K5" s="19">
        <f t="shared" si="1"/>
        <v>2.2093023255813953</v>
      </c>
      <c r="L5" s="3">
        <v>78.3</v>
      </c>
      <c r="M5" s="3">
        <v>109</v>
      </c>
    </row>
    <row r="6" spans="1:13" x14ac:dyDescent="0.2">
      <c r="A6" s="4">
        <v>46160</v>
      </c>
      <c r="B6" s="3" t="s">
        <v>27</v>
      </c>
      <c r="C6" s="3">
        <v>52</v>
      </c>
      <c r="D6" s="16" t="s">
        <v>126</v>
      </c>
      <c r="E6" s="17">
        <v>46160.642407407409</v>
      </c>
      <c r="F6" s="3">
        <v>44.8</v>
      </c>
      <c r="G6" s="3"/>
      <c r="H6" s="3"/>
      <c r="I6" s="18" t="str">
        <f t="shared" si="0"/>
        <v/>
      </c>
      <c r="J6" s="3">
        <v>208</v>
      </c>
      <c r="K6" s="19">
        <f t="shared" si="1"/>
        <v>4.6428571428571432</v>
      </c>
      <c r="L6" s="3">
        <v>98.7</v>
      </c>
      <c r="M6" s="3">
        <v>120</v>
      </c>
    </row>
    <row r="7" spans="1:13" x14ac:dyDescent="0.2">
      <c r="A7" s="4">
        <v>46160</v>
      </c>
      <c r="B7" s="3" t="s">
        <v>27</v>
      </c>
      <c r="C7" s="3">
        <v>1</v>
      </c>
      <c r="D7" s="16" t="s">
        <v>128</v>
      </c>
      <c r="E7" s="17">
        <v>46160.841053240743</v>
      </c>
      <c r="F7" s="3">
        <v>31.3</v>
      </c>
      <c r="G7" s="3">
        <v>5321</v>
      </c>
      <c r="H7" s="3">
        <v>0.3521894380755497</v>
      </c>
      <c r="I7" s="18">
        <f t="shared" si="0"/>
        <v>5.8698239679258277</v>
      </c>
      <c r="J7" s="3">
        <v>425.26315307617188</v>
      </c>
      <c r="K7" s="19">
        <f t="shared" si="1"/>
        <v>13.586682206906449</v>
      </c>
      <c r="L7" s="3">
        <v>174.2</v>
      </c>
      <c r="M7" s="3">
        <v>189</v>
      </c>
    </row>
    <row r="8" spans="1:13" x14ac:dyDescent="0.2">
      <c r="A8" s="4">
        <v>46161</v>
      </c>
      <c r="B8" s="3" t="s">
        <v>27</v>
      </c>
      <c r="C8" s="3">
        <v>6</v>
      </c>
      <c r="D8" s="16" t="s">
        <v>129</v>
      </c>
      <c r="E8" s="17">
        <v>46161.782986111109</v>
      </c>
      <c r="F8" s="3">
        <v>43.6</v>
      </c>
      <c r="G8" s="3">
        <v>3076</v>
      </c>
      <c r="H8" s="3">
        <v>0.84980494148244479</v>
      </c>
      <c r="I8" s="18">
        <f t="shared" si="0"/>
        <v>14.163415691374079</v>
      </c>
      <c r="J8" s="3">
        <v>140.92671203613281</v>
      </c>
      <c r="K8" s="19">
        <f t="shared" si="1"/>
        <v>3.2322640375259817</v>
      </c>
      <c r="L8" s="3">
        <v>87.4</v>
      </c>
      <c r="M8" s="3">
        <v>98</v>
      </c>
    </row>
    <row r="9" spans="1:13" x14ac:dyDescent="0.2">
      <c r="A9" s="4">
        <v>46161</v>
      </c>
      <c r="B9" s="3" t="s">
        <v>27</v>
      </c>
      <c r="C9" s="3">
        <v>52</v>
      </c>
      <c r="D9" s="16" t="s">
        <v>126</v>
      </c>
      <c r="E9" s="17">
        <v>46161.82471064815</v>
      </c>
      <c r="F9" s="3">
        <v>59.9</v>
      </c>
      <c r="G9" s="3"/>
      <c r="H9" s="3"/>
      <c r="I9" s="18" t="str">
        <f t="shared" si="0"/>
        <v/>
      </c>
      <c r="J9" s="3">
        <v>213</v>
      </c>
      <c r="K9" s="19">
        <f t="shared" si="1"/>
        <v>3.5559265442404007</v>
      </c>
      <c r="L9" s="3">
        <v>89.8</v>
      </c>
      <c r="M9" s="3">
        <v>109</v>
      </c>
    </row>
    <row r="10" spans="1:13" x14ac:dyDescent="0.2">
      <c r="A10" s="4">
        <v>46162</v>
      </c>
      <c r="B10" s="3" t="s">
        <v>27</v>
      </c>
      <c r="C10" s="3">
        <v>10</v>
      </c>
      <c r="D10" s="16" t="s">
        <v>130</v>
      </c>
      <c r="E10" s="17">
        <v>46162.718981481477</v>
      </c>
      <c r="F10" s="3">
        <v>50.9</v>
      </c>
      <c r="G10" s="3"/>
      <c r="H10" s="3"/>
      <c r="I10" s="18" t="str">
        <f t="shared" si="0"/>
        <v/>
      </c>
      <c r="J10" s="3">
        <v>348</v>
      </c>
      <c r="K10" s="19">
        <f t="shared" si="1"/>
        <v>6.8369351669941061</v>
      </c>
      <c r="L10" s="3">
        <v>117.3</v>
      </c>
      <c r="M10" s="3">
        <v>132</v>
      </c>
    </row>
    <row r="11" spans="1:13" x14ac:dyDescent="0.2">
      <c r="A11" s="4">
        <v>46163</v>
      </c>
      <c r="B11" s="3" t="s">
        <v>27</v>
      </c>
      <c r="C11" s="3">
        <v>52</v>
      </c>
      <c r="D11" s="16" t="s">
        <v>126</v>
      </c>
      <c r="E11" s="17">
        <v>46163.563784722217</v>
      </c>
      <c r="F11" s="3">
        <v>50.8</v>
      </c>
      <c r="G11" s="3"/>
      <c r="H11" s="3"/>
      <c r="I11" s="18" t="str">
        <f t="shared" si="0"/>
        <v/>
      </c>
      <c r="J11" s="3">
        <v>273</v>
      </c>
      <c r="K11" s="19">
        <f t="shared" si="1"/>
        <v>5.3740157480314963</v>
      </c>
      <c r="L11" s="3">
        <v>104.8</v>
      </c>
      <c r="M11" s="3">
        <v>132</v>
      </c>
    </row>
    <row r="12" spans="1:13" x14ac:dyDescent="0.2">
      <c r="A12" s="4">
        <v>46163</v>
      </c>
      <c r="B12" s="3" t="s">
        <v>27</v>
      </c>
      <c r="C12" s="3">
        <v>1</v>
      </c>
      <c r="D12" s="16" t="s">
        <v>128</v>
      </c>
      <c r="E12" s="17">
        <v>46163.876446759263</v>
      </c>
      <c r="F12" s="3">
        <v>28.3</v>
      </c>
      <c r="G12" s="3">
        <v>5079</v>
      </c>
      <c r="H12" s="3">
        <v>0.33392400078755657</v>
      </c>
      <c r="I12" s="18">
        <f t="shared" si="0"/>
        <v>5.5654000131259425</v>
      </c>
      <c r="J12" s="3">
        <v>368.5653076171875</v>
      </c>
      <c r="K12" s="19">
        <f t="shared" si="1"/>
        <v>13.02350910308083</v>
      </c>
      <c r="L12" s="3">
        <v>169.9</v>
      </c>
      <c r="M12" s="3">
        <v>187</v>
      </c>
    </row>
    <row r="13" spans="1:13" x14ac:dyDescent="0.2">
      <c r="A13" s="4">
        <v>46164</v>
      </c>
      <c r="B13" s="3" t="s">
        <v>27</v>
      </c>
      <c r="C13" s="3">
        <v>52</v>
      </c>
      <c r="D13" s="16" t="s">
        <v>126</v>
      </c>
      <c r="E13" s="17">
        <v>46164.854039351849</v>
      </c>
      <c r="F13" s="3">
        <v>44.3</v>
      </c>
      <c r="G13" s="3"/>
      <c r="H13" s="3"/>
      <c r="I13" s="18" t="str">
        <f t="shared" si="0"/>
        <v/>
      </c>
      <c r="J13" s="3">
        <v>174</v>
      </c>
      <c r="K13" s="19">
        <f t="shared" si="1"/>
        <v>3.9277652370203162</v>
      </c>
      <c r="L13" s="3">
        <v>92.9</v>
      </c>
      <c r="M13" s="3">
        <v>122</v>
      </c>
    </row>
    <row r="14" spans="1:13" x14ac:dyDescent="0.2">
      <c r="A14" s="4">
        <v>46165</v>
      </c>
      <c r="B14" s="3" t="s">
        <v>27</v>
      </c>
      <c r="C14" s="3">
        <v>85</v>
      </c>
      <c r="D14" s="16" t="s">
        <v>131</v>
      </c>
      <c r="E14" s="17">
        <v>46165.705937500003</v>
      </c>
      <c r="F14" s="3">
        <v>71.5</v>
      </c>
      <c r="G14" s="3"/>
      <c r="H14" s="3"/>
      <c r="I14" s="18" t="str">
        <f t="shared" si="0"/>
        <v/>
      </c>
      <c r="J14" s="3">
        <v>850</v>
      </c>
      <c r="K14" s="19">
        <f t="shared" si="1"/>
        <v>11.888111888111888</v>
      </c>
      <c r="L14" s="3">
        <v>158.69999999999999</v>
      </c>
      <c r="M14" s="3">
        <v>179</v>
      </c>
    </row>
    <row r="15" spans="1:13" x14ac:dyDescent="0.2">
      <c r="A15" s="4">
        <v>46166</v>
      </c>
      <c r="B15" s="3" t="s">
        <v>27</v>
      </c>
      <c r="C15" s="3">
        <v>1</v>
      </c>
      <c r="D15" s="16" t="s">
        <v>128</v>
      </c>
      <c r="E15" s="17">
        <v>46166.310682870368</v>
      </c>
      <c r="F15" s="3">
        <v>40</v>
      </c>
      <c r="G15" s="3">
        <v>6078</v>
      </c>
      <c r="H15" s="3">
        <v>0.39420862125699241</v>
      </c>
      <c r="I15" s="18">
        <f t="shared" si="0"/>
        <v>6.5701436876165396</v>
      </c>
      <c r="J15" s="3">
        <v>531.377685546875</v>
      </c>
      <c r="K15" s="19">
        <f t="shared" si="1"/>
        <v>13.284442138671874</v>
      </c>
      <c r="L15" s="3">
        <v>170.5</v>
      </c>
      <c r="M15" s="3">
        <v>179</v>
      </c>
    </row>
    <row r="16" spans="1:13" x14ac:dyDescent="0.2">
      <c r="A16" s="4">
        <v>46166</v>
      </c>
      <c r="B16" s="3" t="s">
        <v>27</v>
      </c>
      <c r="C16" s="3">
        <v>1</v>
      </c>
      <c r="D16" s="16" t="s">
        <v>128</v>
      </c>
      <c r="E16" s="17">
        <v>46166.393229166657</v>
      </c>
      <c r="F16" s="3">
        <v>18.8</v>
      </c>
      <c r="G16" s="3">
        <v>3178</v>
      </c>
      <c r="H16" s="3">
        <v>0.35431088735053501</v>
      </c>
      <c r="I16" s="18">
        <f t="shared" si="0"/>
        <v>5.90518145584225</v>
      </c>
      <c r="J16" s="3">
        <v>246.15850830078119</v>
      </c>
      <c r="K16" s="19">
        <f t="shared" si="1"/>
        <v>13.093537675573467</v>
      </c>
      <c r="L16" s="3">
        <v>169.6</v>
      </c>
      <c r="M16" s="3">
        <v>180</v>
      </c>
    </row>
    <row r="17" spans="1:13" x14ac:dyDescent="0.2">
      <c r="A17" s="4">
        <v>46166</v>
      </c>
      <c r="B17" s="3" t="s">
        <v>27</v>
      </c>
      <c r="C17" s="3">
        <v>49</v>
      </c>
      <c r="D17" s="16" t="s">
        <v>127</v>
      </c>
      <c r="E17" s="17">
        <v>46166.746712962973</v>
      </c>
      <c r="F17" s="3">
        <v>65.7</v>
      </c>
      <c r="G17" s="3"/>
      <c r="H17" s="3"/>
      <c r="I17" s="18" t="str">
        <f t="shared" si="0"/>
        <v/>
      </c>
      <c r="J17" s="3">
        <v>644</v>
      </c>
      <c r="K17" s="19">
        <f t="shared" si="1"/>
        <v>9.8021308980213089</v>
      </c>
      <c r="L17" s="3">
        <v>141.1</v>
      </c>
      <c r="M17" s="3">
        <v>165</v>
      </c>
    </row>
    <row r="18" spans="1:13" x14ac:dyDescent="0.2">
      <c r="A18" s="4">
        <v>46167</v>
      </c>
      <c r="B18" s="3" t="s">
        <v>27</v>
      </c>
      <c r="C18" s="3">
        <v>52</v>
      </c>
      <c r="D18" s="16" t="s">
        <v>126</v>
      </c>
      <c r="E18" s="17">
        <v>46167.812592592592</v>
      </c>
      <c r="F18" s="3">
        <v>36.700000000000003</v>
      </c>
      <c r="G18" s="3"/>
      <c r="H18" s="3"/>
      <c r="I18" s="18" t="str">
        <f t="shared" si="0"/>
        <v/>
      </c>
      <c r="J18" s="3">
        <v>153</v>
      </c>
      <c r="K18" s="19">
        <f t="shared" si="1"/>
        <v>4.1689373297002721</v>
      </c>
      <c r="L18" s="3">
        <v>94.6</v>
      </c>
      <c r="M18" s="3">
        <v>117</v>
      </c>
    </row>
    <row r="19" spans="1:13" x14ac:dyDescent="0.2">
      <c r="A19" s="4">
        <v>46168</v>
      </c>
      <c r="B19" s="3" t="s">
        <v>27</v>
      </c>
      <c r="C19" s="3">
        <v>85</v>
      </c>
      <c r="D19" s="16" t="s">
        <v>131</v>
      </c>
      <c r="E19" s="17">
        <v>46168.37127314815</v>
      </c>
      <c r="F19" s="3">
        <v>64.8</v>
      </c>
      <c r="G19" s="3"/>
      <c r="H19" s="3"/>
      <c r="I19" s="18" t="str">
        <f t="shared" si="0"/>
        <v/>
      </c>
      <c r="J19" s="3">
        <v>381</v>
      </c>
      <c r="K19" s="19">
        <f t="shared" si="1"/>
        <v>5.8796296296296298</v>
      </c>
      <c r="L19" s="3">
        <v>108.8</v>
      </c>
      <c r="M19" s="3">
        <v>166</v>
      </c>
    </row>
    <row r="20" spans="1:13" x14ac:dyDescent="0.2">
      <c r="A20" s="4">
        <v>46169</v>
      </c>
      <c r="B20" s="3" t="s">
        <v>27</v>
      </c>
      <c r="C20" s="3">
        <v>10</v>
      </c>
      <c r="D20" s="16" t="s">
        <v>130</v>
      </c>
      <c r="E20" s="17">
        <v>46169.718240740738</v>
      </c>
      <c r="F20" s="3">
        <v>51.8</v>
      </c>
      <c r="G20" s="3"/>
      <c r="H20" s="3"/>
      <c r="I20" s="18" t="str">
        <f t="shared" si="0"/>
        <v/>
      </c>
      <c r="J20" s="3">
        <v>400</v>
      </c>
      <c r="K20" s="19">
        <f t="shared" si="1"/>
        <v>7.7220077220077226</v>
      </c>
      <c r="L20" s="3">
        <v>124.1</v>
      </c>
      <c r="M20" s="3">
        <v>138</v>
      </c>
    </row>
    <row r="21" spans="1:13" x14ac:dyDescent="0.2">
      <c r="A21" s="4">
        <v>46169</v>
      </c>
      <c r="B21" s="3" t="s">
        <v>27</v>
      </c>
      <c r="C21" s="3">
        <v>52</v>
      </c>
      <c r="D21" s="16" t="s">
        <v>126</v>
      </c>
      <c r="E21" s="17">
        <v>46169.846145833333</v>
      </c>
      <c r="F21" s="3">
        <v>41.6</v>
      </c>
      <c r="G21" s="3"/>
      <c r="H21" s="3"/>
      <c r="I21" s="18" t="str">
        <f t="shared" si="0"/>
        <v/>
      </c>
      <c r="J21" s="3">
        <v>157</v>
      </c>
      <c r="K21" s="19">
        <f t="shared" si="1"/>
        <v>3.7740384615384612</v>
      </c>
      <c r="L21" s="3">
        <v>91.1</v>
      </c>
      <c r="M21" s="3">
        <v>126</v>
      </c>
    </row>
    <row r="22" spans="1:13" x14ac:dyDescent="0.2">
      <c r="A22" s="4">
        <v>46171</v>
      </c>
      <c r="B22" s="3" t="s">
        <v>27</v>
      </c>
      <c r="C22" s="3">
        <v>1</v>
      </c>
      <c r="D22" s="16" t="s">
        <v>128</v>
      </c>
      <c r="E22" s="17">
        <v>46171.239699074067</v>
      </c>
      <c r="F22" s="3">
        <v>66.099999999999994</v>
      </c>
      <c r="G22" s="3">
        <v>10352</v>
      </c>
      <c r="H22" s="3">
        <v>0.38292117465224113</v>
      </c>
      <c r="I22" s="18">
        <f t="shared" si="0"/>
        <v>6.3820195775373518</v>
      </c>
      <c r="J22" s="3">
        <v>840.22235107421875</v>
      </c>
      <c r="K22" s="19">
        <f t="shared" si="1"/>
        <v>12.7113820132257</v>
      </c>
      <c r="L22" s="3">
        <v>166.3</v>
      </c>
      <c r="M22" s="3">
        <v>179</v>
      </c>
    </row>
    <row r="23" spans="1:13" x14ac:dyDescent="0.2">
      <c r="A23" s="4">
        <v>46171</v>
      </c>
      <c r="B23" s="3" t="s">
        <v>27</v>
      </c>
      <c r="C23" s="3">
        <v>6</v>
      </c>
      <c r="D23" s="16" t="s">
        <v>129</v>
      </c>
      <c r="E23" s="17">
        <v>46171.790532407409</v>
      </c>
      <c r="F23" s="3">
        <v>28.4</v>
      </c>
      <c r="G23" s="3">
        <v>1723</v>
      </c>
      <c r="H23" s="3">
        <v>0.98781195589088799</v>
      </c>
      <c r="I23" s="18">
        <f t="shared" si="0"/>
        <v>16.463532598181466</v>
      </c>
      <c r="J23" s="3">
        <v>67.262886047363281</v>
      </c>
      <c r="K23" s="19">
        <f t="shared" si="1"/>
        <v>2.3684114805409608</v>
      </c>
      <c r="L23" s="3">
        <v>71.2</v>
      </c>
      <c r="M23" s="3">
        <v>87</v>
      </c>
    </row>
    <row r="24" spans="1:13" x14ac:dyDescent="0.2">
      <c r="A24" s="4">
        <v>46171</v>
      </c>
      <c r="B24" s="3" t="s">
        <v>27</v>
      </c>
      <c r="C24" s="3">
        <v>227</v>
      </c>
      <c r="D24" s="16" t="s">
        <v>130</v>
      </c>
      <c r="E24" s="17">
        <v>46171.956701388888</v>
      </c>
      <c r="F24" s="3">
        <v>46.4</v>
      </c>
      <c r="G24" s="3"/>
      <c r="H24" s="3"/>
      <c r="I24" s="18" t="str">
        <f t="shared" si="0"/>
        <v/>
      </c>
      <c r="J24" s="3">
        <v>305</v>
      </c>
      <c r="K24" s="19">
        <f t="shared" si="1"/>
        <v>6.5732758620689653</v>
      </c>
      <c r="L24" s="3">
        <v>103</v>
      </c>
      <c r="M24" s="3">
        <v>128</v>
      </c>
    </row>
    <row r="25" spans="1:13" x14ac:dyDescent="0.2">
      <c r="A25" s="4">
        <v>46172</v>
      </c>
      <c r="B25" s="3" t="s">
        <v>27</v>
      </c>
      <c r="C25" s="3">
        <v>49</v>
      </c>
      <c r="D25" s="16" t="s">
        <v>127</v>
      </c>
      <c r="E25" s="17">
        <v>46172.291747685187</v>
      </c>
      <c r="F25" s="3">
        <v>89.6</v>
      </c>
      <c r="G25" s="3"/>
      <c r="H25" s="3"/>
      <c r="I25" s="18" t="str">
        <f t="shared" si="0"/>
        <v/>
      </c>
      <c r="J25" s="3">
        <v>878</v>
      </c>
      <c r="K25" s="19">
        <f t="shared" si="1"/>
        <v>9.7991071428571441</v>
      </c>
      <c r="L25" s="3">
        <v>142.9</v>
      </c>
      <c r="M25" s="3">
        <v>177</v>
      </c>
    </row>
    <row r="26" spans="1:13" x14ac:dyDescent="0.2">
      <c r="A26" s="4">
        <v>46173</v>
      </c>
      <c r="B26" s="3" t="s">
        <v>27</v>
      </c>
      <c r="C26" s="3">
        <v>1</v>
      </c>
      <c r="D26" s="16" t="s">
        <v>128</v>
      </c>
      <c r="E26" s="17">
        <v>46173.351377314822</v>
      </c>
      <c r="F26" s="3">
        <v>21.1</v>
      </c>
      <c r="G26" s="3">
        <v>3122</v>
      </c>
      <c r="H26" s="3">
        <v>0.40358744394618828</v>
      </c>
      <c r="I26" s="18">
        <f t="shared" si="0"/>
        <v>6.726457399103138</v>
      </c>
      <c r="J26" s="3">
        <v>251.07633972167969</v>
      </c>
      <c r="K26" s="19">
        <f t="shared" si="1"/>
        <v>11.899352593444535</v>
      </c>
      <c r="L26" s="3">
        <v>157.9</v>
      </c>
      <c r="M26" s="3">
        <v>180</v>
      </c>
    </row>
    <row r="27" spans="1:13" x14ac:dyDescent="0.2">
      <c r="A27" s="4">
        <v>46173</v>
      </c>
      <c r="B27" s="3" t="s">
        <v>27</v>
      </c>
      <c r="C27" s="3">
        <v>52</v>
      </c>
      <c r="D27" s="16" t="s">
        <v>126</v>
      </c>
      <c r="E27" s="17">
        <v>46173.654826388891</v>
      </c>
      <c r="F27" s="3">
        <v>30.6</v>
      </c>
      <c r="G27" s="3"/>
      <c r="H27" s="3"/>
      <c r="I27" s="18" t="str">
        <f t="shared" si="0"/>
        <v/>
      </c>
      <c r="J27" s="3">
        <v>326</v>
      </c>
      <c r="K27" s="19">
        <f t="shared" si="1"/>
        <v>10.65359477124183</v>
      </c>
      <c r="L27" s="3">
        <v>89.6</v>
      </c>
      <c r="M27" s="3">
        <v>121</v>
      </c>
    </row>
    <row r="28" spans="1:13" x14ac:dyDescent="0.2">
      <c r="A28" s="4">
        <v>46173</v>
      </c>
      <c r="B28" s="3" t="s">
        <v>27</v>
      </c>
      <c r="C28" s="3">
        <v>49</v>
      </c>
      <c r="D28" s="16" t="s">
        <v>127</v>
      </c>
      <c r="E28" s="17">
        <v>46173.717962962961</v>
      </c>
      <c r="F28" s="3">
        <v>107.5</v>
      </c>
      <c r="G28" s="3"/>
      <c r="H28" s="3"/>
      <c r="I28" s="18" t="str">
        <f t="shared" si="0"/>
        <v/>
      </c>
      <c r="J28" s="3">
        <v>1099</v>
      </c>
      <c r="K28" s="19">
        <f t="shared" si="1"/>
        <v>10.223255813953488</v>
      </c>
      <c r="L28" s="3">
        <v>144.6</v>
      </c>
      <c r="M28" s="3">
        <v>175</v>
      </c>
    </row>
    <row r="29" spans="1:13" x14ac:dyDescent="0.2">
      <c r="A29" s="4">
        <v>46177</v>
      </c>
      <c r="B29" s="3" t="s">
        <v>27</v>
      </c>
      <c r="C29" s="3">
        <v>8</v>
      </c>
      <c r="D29" s="16" t="s">
        <v>129</v>
      </c>
      <c r="E29" s="17">
        <v>46177.744722222233</v>
      </c>
      <c r="F29" s="3">
        <v>15.1</v>
      </c>
      <c r="G29" s="3">
        <v>1660</v>
      </c>
      <c r="H29" s="3">
        <v>0.54337349397590362</v>
      </c>
      <c r="I29" s="18">
        <f t="shared" si="0"/>
        <v>9.0562248995983943</v>
      </c>
      <c r="J29" s="3">
        <v>200.89289855957031</v>
      </c>
      <c r="K29" s="19">
        <f t="shared" si="1"/>
        <v>13.304165467521212</v>
      </c>
      <c r="L29" s="3">
        <v>174.4</v>
      </c>
      <c r="M29" s="3">
        <v>184</v>
      </c>
    </row>
    <row r="30" spans="1:13" x14ac:dyDescent="0.2">
      <c r="A30" s="4">
        <v>46177</v>
      </c>
      <c r="B30" s="3" t="s">
        <v>27</v>
      </c>
      <c r="C30" s="3">
        <v>14</v>
      </c>
      <c r="D30" s="16" t="s">
        <v>130</v>
      </c>
      <c r="E30" s="17">
        <v>46177.765069444453</v>
      </c>
      <c r="F30" s="3">
        <v>70.900000000000006</v>
      </c>
      <c r="G30" s="3"/>
      <c r="H30" s="3"/>
      <c r="I30" s="18" t="str">
        <f t="shared" si="0"/>
        <v/>
      </c>
      <c r="J30" s="3">
        <v>298</v>
      </c>
      <c r="K30" s="19">
        <f t="shared" si="1"/>
        <v>4.2031029619181943</v>
      </c>
      <c r="L30" s="3">
        <v>94.9</v>
      </c>
      <c r="M30" s="3">
        <v>117</v>
      </c>
    </row>
    <row r="31" spans="1:13" x14ac:dyDescent="0.2">
      <c r="A31" s="4">
        <v>46181</v>
      </c>
      <c r="B31" s="3" t="s">
        <v>27</v>
      </c>
      <c r="C31" s="3">
        <v>52</v>
      </c>
      <c r="D31" s="16" t="s">
        <v>126</v>
      </c>
      <c r="E31" s="17">
        <v>46181.866712962961</v>
      </c>
      <c r="F31" s="3">
        <v>113.4</v>
      </c>
      <c r="G31" s="3"/>
      <c r="H31" s="3"/>
      <c r="I31" s="18" t="str">
        <f t="shared" si="0"/>
        <v/>
      </c>
      <c r="J31" s="3">
        <v>449</v>
      </c>
      <c r="K31" s="19">
        <f t="shared" si="1"/>
        <v>3.9594356261022927</v>
      </c>
      <c r="L31" s="3">
        <v>93.1</v>
      </c>
      <c r="M31" s="3">
        <v>128</v>
      </c>
    </row>
    <row r="32" spans="1:13" x14ac:dyDescent="0.2">
      <c r="A32" s="4">
        <v>46182</v>
      </c>
      <c r="B32" s="3" t="s">
        <v>27</v>
      </c>
      <c r="C32" s="3">
        <v>52</v>
      </c>
      <c r="D32" s="16" t="s">
        <v>126</v>
      </c>
      <c r="E32" s="17">
        <v>46182.870046296302</v>
      </c>
      <c r="F32" s="3">
        <v>72.8</v>
      </c>
      <c r="G32" s="3"/>
      <c r="H32" s="3"/>
      <c r="I32" s="18" t="str">
        <f t="shared" si="0"/>
        <v/>
      </c>
      <c r="J32" s="3">
        <v>359</v>
      </c>
      <c r="K32" s="19">
        <f t="shared" si="1"/>
        <v>4.9313186813186816</v>
      </c>
      <c r="L32" s="3">
        <v>101.3</v>
      </c>
      <c r="M32" s="3">
        <v>131</v>
      </c>
    </row>
    <row r="33" spans="1:13" x14ac:dyDescent="0.2">
      <c r="A33" s="4">
        <v>46183</v>
      </c>
      <c r="B33" s="3" t="s">
        <v>27</v>
      </c>
      <c r="C33" s="3">
        <v>85</v>
      </c>
      <c r="D33" s="16" t="s">
        <v>131</v>
      </c>
      <c r="E33" s="17">
        <v>46183.793634259258</v>
      </c>
      <c r="F33" s="3">
        <v>54.5</v>
      </c>
      <c r="G33" s="3"/>
      <c r="H33" s="3"/>
      <c r="I33" s="18" t="str">
        <f t="shared" si="0"/>
        <v/>
      </c>
      <c r="J33" s="3">
        <v>602</v>
      </c>
      <c r="K33" s="19">
        <f t="shared" si="1"/>
        <v>11.045871559633028</v>
      </c>
      <c r="L33" s="3">
        <v>149.69999999999999</v>
      </c>
      <c r="M33" s="3">
        <v>176</v>
      </c>
    </row>
    <row r="34" spans="1:13" x14ac:dyDescent="0.2">
      <c r="A34" s="4">
        <v>46184</v>
      </c>
      <c r="B34" s="3" t="s">
        <v>27</v>
      </c>
      <c r="C34" s="3">
        <v>52</v>
      </c>
      <c r="D34" s="16" t="s">
        <v>126</v>
      </c>
      <c r="E34" s="17">
        <v>46184.839201388888</v>
      </c>
      <c r="F34" s="3">
        <v>105.4</v>
      </c>
      <c r="G34" s="3"/>
      <c r="H34" s="3"/>
      <c r="I34" s="18" t="str">
        <f t="shared" ref="I34:I65" si="2">IF(AND(G34&gt;=500,H34&gt;0),H34*1000/60,"")</f>
        <v/>
      </c>
      <c r="J34" s="3">
        <v>531</v>
      </c>
      <c r="K34" s="19">
        <f t="shared" ref="K34:K65" si="3">IF(F34&gt;0,J34/F34,"")</f>
        <v>5.0379506641366225</v>
      </c>
      <c r="L34" s="3">
        <v>101.8</v>
      </c>
      <c r="M34" s="3">
        <v>130</v>
      </c>
    </row>
    <row r="35" spans="1:13" x14ac:dyDescent="0.2">
      <c r="A35" s="4">
        <v>46185</v>
      </c>
      <c r="B35" s="3" t="s">
        <v>27</v>
      </c>
      <c r="C35" s="3">
        <v>227</v>
      </c>
      <c r="D35" s="16" t="s">
        <v>130</v>
      </c>
      <c r="E35" s="17">
        <v>46185.824675925927</v>
      </c>
      <c r="F35" s="3">
        <v>73.2</v>
      </c>
      <c r="G35" s="3"/>
      <c r="H35" s="3"/>
      <c r="I35" s="18" t="str">
        <f t="shared" si="2"/>
        <v/>
      </c>
      <c r="J35" s="3">
        <v>436</v>
      </c>
      <c r="K35" s="19">
        <f t="shared" si="3"/>
        <v>5.9562841530054644</v>
      </c>
      <c r="L35" s="3">
        <v>109.2</v>
      </c>
      <c r="M35" s="3">
        <v>137</v>
      </c>
    </row>
    <row r="36" spans="1:13" x14ac:dyDescent="0.2">
      <c r="A36" s="4">
        <v>46186</v>
      </c>
      <c r="B36" s="3" t="s">
        <v>27</v>
      </c>
      <c r="C36" s="3">
        <v>52</v>
      </c>
      <c r="D36" s="16" t="s">
        <v>126</v>
      </c>
      <c r="E36" s="17">
        <v>46186.565150462957</v>
      </c>
      <c r="F36" s="3">
        <v>65</v>
      </c>
      <c r="G36" s="3"/>
      <c r="H36" s="3"/>
      <c r="I36" s="18" t="str">
        <f t="shared" si="2"/>
        <v/>
      </c>
      <c r="J36" s="3">
        <v>305</v>
      </c>
      <c r="K36" s="19">
        <f t="shared" si="3"/>
        <v>4.6923076923076925</v>
      </c>
      <c r="L36" s="3">
        <v>98.8</v>
      </c>
      <c r="M36" s="3">
        <v>123</v>
      </c>
    </row>
    <row r="37" spans="1:13" x14ac:dyDescent="0.2">
      <c r="A37" s="4">
        <v>46187</v>
      </c>
      <c r="B37" s="3" t="s">
        <v>27</v>
      </c>
      <c r="C37" s="3">
        <v>8</v>
      </c>
      <c r="D37" s="16" t="s">
        <v>129</v>
      </c>
      <c r="E37" s="17">
        <v>46187.540289351848</v>
      </c>
      <c r="F37" s="3">
        <v>37.6</v>
      </c>
      <c r="G37" s="3">
        <v>2835</v>
      </c>
      <c r="H37" s="3">
        <v>0.79435626102292767</v>
      </c>
      <c r="I37" s="18">
        <f t="shared" si="2"/>
        <v>13.239271017048795</v>
      </c>
      <c r="J37" s="3">
        <v>271.87429809570312</v>
      </c>
      <c r="K37" s="19">
        <f t="shared" si="3"/>
        <v>7.2306994174389123</v>
      </c>
      <c r="L37" s="3">
        <v>145.9</v>
      </c>
      <c r="M37" s="3">
        <v>176</v>
      </c>
    </row>
    <row r="38" spans="1:13" x14ac:dyDescent="0.2">
      <c r="A38" s="4">
        <v>46187</v>
      </c>
      <c r="B38" s="3" t="s">
        <v>27</v>
      </c>
      <c r="C38" s="3">
        <v>49</v>
      </c>
      <c r="D38" s="16" t="s">
        <v>127</v>
      </c>
      <c r="E38" s="17">
        <v>46187.921875</v>
      </c>
      <c r="F38" s="3">
        <v>108.4</v>
      </c>
      <c r="G38" s="3"/>
      <c r="H38" s="3"/>
      <c r="I38" s="18" t="str">
        <f t="shared" si="2"/>
        <v/>
      </c>
      <c r="J38" s="3">
        <v>1079</v>
      </c>
      <c r="K38" s="19">
        <f t="shared" si="3"/>
        <v>9.9538745387453869</v>
      </c>
      <c r="L38" s="3">
        <v>142.6</v>
      </c>
      <c r="M38" s="3">
        <v>174</v>
      </c>
    </row>
    <row r="39" spans="1:13" x14ac:dyDescent="0.2">
      <c r="A39" s="4">
        <v>46188</v>
      </c>
      <c r="B39" s="3" t="s">
        <v>27</v>
      </c>
      <c r="C39" s="3">
        <v>52</v>
      </c>
      <c r="D39" s="16" t="s">
        <v>126</v>
      </c>
      <c r="E39" s="17">
        <v>46188.876203703701</v>
      </c>
      <c r="F39" s="3">
        <v>44</v>
      </c>
      <c r="G39" s="3"/>
      <c r="H39" s="3"/>
      <c r="I39" s="18" t="str">
        <f t="shared" si="2"/>
        <v/>
      </c>
      <c r="J39" s="3">
        <v>301</v>
      </c>
      <c r="K39" s="19">
        <f t="shared" si="3"/>
        <v>6.8409090909090908</v>
      </c>
      <c r="L39" s="3">
        <v>116.6</v>
      </c>
      <c r="M39" s="3">
        <v>139</v>
      </c>
    </row>
    <row r="40" spans="1:13" x14ac:dyDescent="0.2">
      <c r="A40" s="4">
        <v>46190</v>
      </c>
      <c r="B40" s="3" t="s">
        <v>27</v>
      </c>
      <c r="C40" s="3">
        <v>1</v>
      </c>
      <c r="D40" s="16" t="s">
        <v>128</v>
      </c>
      <c r="E40" s="17">
        <v>46190.242858796293</v>
      </c>
      <c r="F40" s="3">
        <v>50.8</v>
      </c>
      <c r="G40" s="3">
        <v>8135</v>
      </c>
      <c r="H40" s="3">
        <v>0.373939766441303</v>
      </c>
      <c r="I40" s="18">
        <f t="shared" si="2"/>
        <v>6.2323294406883836</v>
      </c>
      <c r="J40" s="3">
        <v>642.255859375</v>
      </c>
      <c r="K40" s="19">
        <f t="shared" si="3"/>
        <v>12.642831877460631</v>
      </c>
      <c r="L40" s="3">
        <v>165</v>
      </c>
      <c r="M40" s="3">
        <v>180</v>
      </c>
    </row>
    <row r="41" spans="1:13" x14ac:dyDescent="0.2">
      <c r="A41" s="4">
        <v>46191</v>
      </c>
      <c r="B41" s="3" t="s">
        <v>27</v>
      </c>
      <c r="C41" s="3">
        <v>227</v>
      </c>
      <c r="D41" s="16" t="s">
        <v>130</v>
      </c>
      <c r="E41" s="17">
        <v>46191.758587962962</v>
      </c>
      <c r="F41" s="3">
        <v>270.89999999999998</v>
      </c>
      <c r="G41" s="3"/>
      <c r="H41" s="3"/>
      <c r="I41" s="18" t="str">
        <f t="shared" si="2"/>
        <v/>
      </c>
      <c r="J41" s="3">
        <v>864</v>
      </c>
      <c r="K41" s="19">
        <f t="shared" si="3"/>
        <v>3.1893687707641201</v>
      </c>
      <c r="L41" s="3">
        <v>86.4</v>
      </c>
      <c r="M41" s="3">
        <v>123</v>
      </c>
    </row>
    <row r="42" spans="1:13" x14ac:dyDescent="0.2">
      <c r="A42" s="4">
        <v>46192</v>
      </c>
      <c r="B42" s="3" t="s">
        <v>27</v>
      </c>
      <c r="C42" s="3">
        <v>52</v>
      </c>
      <c r="D42" s="16" t="s">
        <v>126</v>
      </c>
      <c r="E42" s="17">
        <v>46192.807442129633</v>
      </c>
      <c r="F42" s="3">
        <v>60</v>
      </c>
      <c r="G42" s="3"/>
      <c r="H42" s="3"/>
      <c r="I42" s="18" t="str">
        <f t="shared" si="2"/>
        <v/>
      </c>
      <c r="J42" s="3">
        <v>195</v>
      </c>
      <c r="K42" s="19">
        <f t="shared" si="3"/>
        <v>3.25</v>
      </c>
      <c r="L42" s="3">
        <v>87.1</v>
      </c>
      <c r="M42" s="3">
        <v>109</v>
      </c>
    </row>
    <row r="43" spans="1:13" x14ac:dyDescent="0.2">
      <c r="A43" s="4">
        <v>46193</v>
      </c>
      <c r="B43" s="3" t="s">
        <v>27</v>
      </c>
      <c r="C43" s="3">
        <v>52</v>
      </c>
      <c r="D43" s="16" t="s">
        <v>126</v>
      </c>
      <c r="E43" s="17">
        <v>46193.668368055558</v>
      </c>
      <c r="F43" s="3">
        <v>59.3</v>
      </c>
      <c r="G43" s="3"/>
      <c r="H43" s="3"/>
      <c r="I43" s="18" t="str">
        <f t="shared" si="2"/>
        <v/>
      </c>
      <c r="J43" s="3">
        <v>196</v>
      </c>
      <c r="K43" s="19">
        <f t="shared" si="3"/>
        <v>3.3052276559865095</v>
      </c>
      <c r="L43" s="3">
        <v>87.5</v>
      </c>
      <c r="M43" s="3">
        <v>114</v>
      </c>
    </row>
    <row r="44" spans="1:13" x14ac:dyDescent="0.2">
      <c r="A44" s="4">
        <v>46194</v>
      </c>
      <c r="B44" s="3" t="s">
        <v>27</v>
      </c>
      <c r="C44" s="3">
        <v>227</v>
      </c>
      <c r="D44" s="16" t="s">
        <v>130</v>
      </c>
      <c r="E44" s="17">
        <v>46194.966805555552</v>
      </c>
      <c r="F44" s="3">
        <v>61.7</v>
      </c>
      <c r="G44" s="3"/>
      <c r="H44" s="3"/>
      <c r="I44" s="18" t="str">
        <f t="shared" si="2"/>
        <v/>
      </c>
      <c r="J44" s="3">
        <v>367</v>
      </c>
      <c r="K44" s="19">
        <f t="shared" si="3"/>
        <v>5.9481361426256072</v>
      </c>
      <c r="L44" s="3">
        <v>109.4</v>
      </c>
      <c r="M44" s="3">
        <v>125</v>
      </c>
    </row>
    <row r="45" spans="1:13" x14ac:dyDescent="0.2">
      <c r="A45" s="4">
        <v>46195</v>
      </c>
      <c r="B45" s="3" t="s">
        <v>27</v>
      </c>
      <c r="C45" s="3">
        <v>52</v>
      </c>
      <c r="D45" s="16" t="s">
        <v>126</v>
      </c>
      <c r="E45" s="17">
        <v>46195.819756944453</v>
      </c>
      <c r="F45" s="3">
        <v>68.599999999999994</v>
      </c>
      <c r="G45" s="3"/>
      <c r="H45" s="3"/>
      <c r="I45" s="18" t="str">
        <f t="shared" si="2"/>
        <v/>
      </c>
      <c r="J45" s="3">
        <v>259</v>
      </c>
      <c r="K45" s="19">
        <f t="shared" si="3"/>
        <v>3.7755102040816331</v>
      </c>
      <c r="L45" s="3">
        <v>91.5</v>
      </c>
      <c r="M45" s="3">
        <v>116</v>
      </c>
    </row>
    <row r="46" spans="1:13" x14ac:dyDescent="0.2">
      <c r="A46" s="4">
        <v>46197</v>
      </c>
      <c r="B46" s="3" t="s">
        <v>27</v>
      </c>
      <c r="C46" s="3">
        <v>52</v>
      </c>
      <c r="D46" s="16" t="s">
        <v>126</v>
      </c>
      <c r="E46" s="17">
        <v>46197.821608796286</v>
      </c>
      <c r="F46" s="3">
        <v>52.1</v>
      </c>
      <c r="G46" s="3"/>
      <c r="H46" s="3"/>
      <c r="I46" s="18" t="str">
        <f t="shared" si="2"/>
        <v/>
      </c>
      <c r="J46" s="3">
        <v>288</v>
      </c>
      <c r="K46" s="19">
        <f t="shared" si="3"/>
        <v>5.5278310940499038</v>
      </c>
      <c r="L46" s="3">
        <v>106.5</v>
      </c>
      <c r="M46" s="3">
        <v>135</v>
      </c>
    </row>
    <row r="47" spans="1:13" x14ac:dyDescent="0.2">
      <c r="A47" s="4">
        <v>46198</v>
      </c>
      <c r="B47" s="3" t="s">
        <v>27</v>
      </c>
      <c r="C47" s="3">
        <v>52</v>
      </c>
      <c r="D47" s="16" t="s">
        <v>126</v>
      </c>
      <c r="E47" s="17">
        <v>46198.453379629631</v>
      </c>
      <c r="F47" s="3">
        <v>0</v>
      </c>
      <c r="G47" s="3"/>
      <c r="H47" s="3"/>
      <c r="I47" s="18" t="str">
        <f t="shared" si="2"/>
        <v/>
      </c>
      <c r="J47" s="3">
        <v>0</v>
      </c>
      <c r="K47" s="19" t="str">
        <f t="shared" si="3"/>
        <v/>
      </c>
      <c r="L47" s="3"/>
      <c r="M47" s="3"/>
    </row>
    <row r="48" spans="1:13" x14ac:dyDescent="0.2">
      <c r="A48" s="4">
        <v>46198</v>
      </c>
      <c r="B48" s="3" t="s">
        <v>27</v>
      </c>
      <c r="C48" s="3">
        <v>1</v>
      </c>
      <c r="D48" s="16" t="s">
        <v>128</v>
      </c>
      <c r="E48" s="17">
        <v>46198.761747685188</v>
      </c>
      <c r="F48" s="3">
        <v>59.2</v>
      </c>
      <c r="G48" s="3">
        <v>58</v>
      </c>
      <c r="H48" s="3">
        <v>61.206896551724142</v>
      </c>
      <c r="I48" s="18" t="str">
        <f t="shared" si="2"/>
        <v/>
      </c>
      <c r="J48" s="3">
        <v>10.65928363800049</v>
      </c>
      <c r="K48" s="19">
        <f t="shared" si="3"/>
        <v>0.18005546685811638</v>
      </c>
      <c r="L48" s="3">
        <v>142.5</v>
      </c>
      <c r="M48" s="3">
        <v>187</v>
      </c>
    </row>
    <row r="49" spans="1:13" x14ac:dyDescent="0.2">
      <c r="A49" s="4">
        <v>46199</v>
      </c>
      <c r="B49" s="3" t="s">
        <v>27</v>
      </c>
      <c r="C49" s="3">
        <v>52</v>
      </c>
      <c r="D49" s="16" t="s">
        <v>126</v>
      </c>
      <c r="E49" s="17">
        <v>46199.86923611111</v>
      </c>
      <c r="F49" s="3">
        <v>66.900000000000006</v>
      </c>
      <c r="G49" s="3"/>
      <c r="H49" s="3"/>
      <c r="I49" s="18" t="str">
        <f t="shared" si="2"/>
        <v/>
      </c>
      <c r="J49" s="3">
        <v>266</v>
      </c>
      <c r="K49" s="19">
        <f t="shared" si="3"/>
        <v>3.9760837070254107</v>
      </c>
      <c r="L49" s="3">
        <v>93</v>
      </c>
      <c r="M49" s="3">
        <v>125</v>
      </c>
    </row>
    <row r="50" spans="1:13" x14ac:dyDescent="0.2">
      <c r="A50" s="4">
        <v>46200</v>
      </c>
      <c r="B50" s="3" t="s">
        <v>27</v>
      </c>
      <c r="C50" s="3">
        <v>49</v>
      </c>
      <c r="D50" s="16" t="s">
        <v>127</v>
      </c>
      <c r="E50" s="17">
        <v>46200.71943287037</v>
      </c>
      <c r="F50" s="3">
        <v>105.4</v>
      </c>
      <c r="G50" s="3"/>
      <c r="H50" s="3"/>
      <c r="I50" s="18" t="str">
        <f t="shared" si="2"/>
        <v/>
      </c>
      <c r="J50" s="3">
        <v>1182</v>
      </c>
      <c r="K50" s="19">
        <f t="shared" si="3"/>
        <v>11.214421252371915</v>
      </c>
      <c r="L50" s="3">
        <v>152.69999999999999</v>
      </c>
      <c r="M50" s="3">
        <v>180</v>
      </c>
    </row>
    <row r="51" spans="1:13" x14ac:dyDescent="0.2">
      <c r="A51" s="4">
        <v>46201</v>
      </c>
      <c r="B51" s="3" t="s">
        <v>27</v>
      </c>
      <c r="C51" s="3">
        <v>1</v>
      </c>
      <c r="D51" s="16" t="s">
        <v>128</v>
      </c>
      <c r="E51" s="17">
        <v>46201.343043981477</v>
      </c>
      <c r="F51" s="3">
        <v>30.6</v>
      </c>
      <c r="G51" s="3">
        <v>4987</v>
      </c>
      <c r="H51" s="3">
        <v>0.36775616603168237</v>
      </c>
      <c r="I51" s="18">
        <f t="shared" si="2"/>
        <v>6.1292694338613725</v>
      </c>
      <c r="J51" s="3">
        <v>389.78338623046881</v>
      </c>
      <c r="K51" s="19">
        <f t="shared" si="3"/>
        <v>12.738019157858457</v>
      </c>
      <c r="L51" s="3">
        <v>164.8</v>
      </c>
      <c r="M51" s="3">
        <v>190</v>
      </c>
    </row>
    <row r="52" spans="1:13" x14ac:dyDescent="0.2">
      <c r="A52" s="4">
        <v>46201</v>
      </c>
      <c r="B52" s="3" t="s">
        <v>27</v>
      </c>
      <c r="C52" s="3">
        <v>10</v>
      </c>
      <c r="D52" s="16" t="s">
        <v>130</v>
      </c>
      <c r="E52" s="17">
        <v>46201.740439814806</v>
      </c>
      <c r="F52" s="3">
        <v>30</v>
      </c>
      <c r="G52" s="3"/>
      <c r="H52" s="3"/>
      <c r="I52" s="18" t="str">
        <f t="shared" si="2"/>
        <v/>
      </c>
      <c r="J52" s="3">
        <v>220</v>
      </c>
      <c r="K52" s="19">
        <f t="shared" si="3"/>
        <v>7.333333333333333</v>
      </c>
      <c r="L52" s="3">
        <v>121.2</v>
      </c>
      <c r="M52" s="3">
        <v>132</v>
      </c>
    </row>
    <row r="53" spans="1:13" x14ac:dyDescent="0.2">
      <c r="A53" s="4">
        <v>46203</v>
      </c>
      <c r="B53" s="3" t="s">
        <v>27</v>
      </c>
      <c r="C53" s="3">
        <v>52</v>
      </c>
      <c r="D53" s="16" t="s">
        <v>126</v>
      </c>
      <c r="E53" s="17">
        <v>46203.822800925933</v>
      </c>
      <c r="F53" s="3">
        <v>48.4</v>
      </c>
      <c r="G53" s="3"/>
      <c r="H53" s="3"/>
      <c r="I53" s="18" t="str">
        <f t="shared" si="2"/>
        <v/>
      </c>
      <c r="J53" s="3">
        <v>213</v>
      </c>
      <c r="K53" s="19">
        <f t="shared" si="3"/>
        <v>4.4008264462809921</v>
      </c>
      <c r="L53" s="3">
        <v>96.5</v>
      </c>
      <c r="M53" s="3">
        <v>116</v>
      </c>
    </row>
    <row r="54" spans="1:13" x14ac:dyDescent="0.2">
      <c r="A54" s="4">
        <v>46204</v>
      </c>
      <c r="B54" s="3" t="s">
        <v>27</v>
      </c>
      <c r="C54" s="3">
        <v>1</v>
      </c>
      <c r="D54" s="16" t="s">
        <v>128</v>
      </c>
      <c r="E54" s="17">
        <v>46204.276412037027</v>
      </c>
      <c r="F54" s="3">
        <v>104.1</v>
      </c>
      <c r="G54" s="3">
        <v>15559</v>
      </c>
      <c r="H54" s="3">
        <v>0.40118259528247319</v>
      </c>
      <c r="I54" s="18">
        <f t="shared" si="2"/>
        <v>6.6863765880412194</v>
      </c>
      <c r="J54" s="3">
        <v>1257.480224609375</v>
      </c>
      <c r="K54" s="19">
        <f t="shared" si="3"/>
        <v>12.079541062530019</v>
      </c>
      <c r="L54" s="3">
        <v>160.4</v>
      </c>
      <c r="M54" s="3">
        <v>168</v>
      </c>
    </row>
    <row r="55" spans="1:13" x14ac:dyDescent="0.2">
      <c r="A55" s="4">
        <v>46205</v>
      </c>
      <c r="B55" s="3" t="s">
        <v>27</v>
      </c>
      <c r="C55" s="3">
        <v>52</v>
      </c>
      <c r="D55" s="16" t="s">
        <v>126</v>
      </c>
      <c r="E55" s="17">
        <v>46205.702615740738</v>
      </c>
      <c r="F55" s="3">
        <v>36.700000000000003</v>
      </c>
      <c r="G55" s="3"/>
      <c r="H55" s="3"/>
      <c r="I55" s="18" t="str">
        <f t="shared" si="2"/>
        <v/>
      </c>
      <c r="J55" s="3">
        <v>179</v>
      </c>
      <c r="K55" s="19">
        <f t="shared" si="3"/>
        <v>4.877384196185286</v>
      </c>
      <c r="L55" s="3">
        <v>100</v>
      </c>
      <c r="M55" s="3">
        <v>119</v>
      </c>
    </row>
    <row r="56" spans="1:13" x14ac:dyDescent="0.2">
      <c r="A56" s="4">
        <v>46208</v>
      </c>
      <c r="B56" s="3" t="s">
        <v>27</v>
      </c>
      <c r="C56" s="3">
        <v>1</v>
      </c>
      <c r="D56" s="16" t="s">
        <v>128</v>
      </c>
      <c r="E56" s="17">
        <v>46208.231840277767</v>
      </c>
      <c r="F56" s="3">
        <v>136.4</v>
      </c>
      <c r="G56" s="3">
        <v>21457</v>
      </c>
      <c r="H56" s="3">
        <v>0.38136738593466002</v>
      </c>
      <c r="I56" s="18">
        <f t="shared" si="2"/>
        <v>6.3561230989110005</v>
      </c>
      <c r="J56" s="3">
        <v>1791.59033203125</v>
      </c>
      <c r="K56" s="19">
        <f t="shared" si="3"/>
        <v>13.134826481167522</v>
      </c>
      <c r="L56" s="3">
        <v>168.5</v>
      </c>
      <c r="M56" s="3">
        <v>175</v>
      </c>
    </row>
    <row r="57" spans="1:13" x14ac:dyDescent="0.2">
      <c r="A57" s="4">
        <v>46209</v>
      </c>
      <c r="B57" s="3" t="s">
        <v>27</v>
      </c>
      <c r="C57" s="3">
        <v>52</v>
      </c>
      <c r="D57" s="16" t="s">
        <v>126</v>
      </c>
      <c r="E57" s="17">
        <v>46209.7421875</v>
      </c>
      <c r="F57" s="3">
        <v>76.7</v>
      </c>
      <c r="G57" s="3"/>
      <c r="H57" s="3"/>
      <c r="I57" s="18" t="str">
        <f t="shared" si="2"/>
        <v/>
      </c>
      <c r="J57" s="3">
        <v>300</v>
      </c>
      <c r="K57" s="19">
        <f t="shared" si="3"/>
        <v>3.9113428943937416</v>
      </c>
      <c r="L57" s="3">
        <v>92.4</v>
      </c>
      <c r="M57" s="3">
        <v>119</v>
      </c>
    </row>
    <row r="58" spans="1:13" x14ac:dyDescent="0.2">
      <c r="A58" s="4">
        <v>46211</v>
      </c>
      <c r="B58" s="3" t="s">
        <v>27</v>
      </c>
      <c r="C58" s="3">
        <v>52</v>
      </c>
      <c r="D58" s="16" t="s">
        <v>126</v>
      </c>
      <c r="E58" s="17">
        <v>46211.814837962957</v>
      </c>
      <c r="F58" s="3">
        <v>60.1</v>
      </c>
      <c r="G58" s="3"/>
      <c r="H58" s="3"/>
      <c r="I58" s="18" t="str">
        <f t="shared" si="2"/>
        <v/>
      </c>
      <c r="J58" s="3">
        <v>291</v>
      </c>
      <c r="K58" s="19">
        <f t="shared" si="3"/>
        <v>4.8419301164725459</v>
      </c>
      <c r="L58" s="3">
        <v>100.2</v>
      </c>
      <c r="M58" s="3">
        <v>128</v>
      </c>
    </row>
    <row r="59" spans="1:13" x14ac:dyDescent="0.2">
      <c r="A59" s="4">
        <v>46213</v>
      </c>
      <c r="B59" s="3" t="s">
        <v>27</v>
      </c>
      <c r="C59" s="3">
        <v>52</v>
      </c>
      <c r="D59" s="16" t="s">
        <v>126</v>
      </c>
      <c r="E59" s="17">
        <v>46213.815995370373</v>
      </c>
      <c r="F59" s="3">
        <v>49.3</v>
      </c>
      <c r="G59" s="3"/>
      <c r="H59" s="3"/>
      <c r="I59" s="18" t="str">
        <f t="shared" si="2"/>
        <v/>
      </c>
      <c r="J59" s="3">
        <v>247</v>
      </c>
      <c r="K59" s="19">
        <f t="shared" si="3"/>
        <v>5.0101419878296145</v>
      </c>
      <c r="L59" s="3">
        <v>101.6</v>
      </c>
      <c r="M59" s="3">
        <v>121</v>
      </c>
    </row>
    <row r="60" spans="1:13" x14ac:dyDescent="0.2">
      <c r="A60" s="4">
        <v>46214</v>
      </c>
      <c r="B60" s="3" t="s">
        <v>27</v>
      </c>
      <c r="C60" s="3">
        <v>52</v>
      </c>
      <c r="D60" s="16" t="s">
        <v>126</v>
      </c>
      <c r="E60" s="17">
        <v>46214.776539351849</v>
      </c>
      <c r="F60" s="3">
        <v>73.3</v>
      </c>
      <c r="G60" s="3"/>
      <c r="H60" s="3"/>
      <c r="I60" s="18" t="str">
        <f t="shared" si="2"/>
        <v/>
      </c>
      <c r="J60" s="3">
        <v>227</v>
      </c>
      <c r="K60" s="19">
        <f t="shared" si="3"/>
        <v>3.0968622100954981</v>
      </c>
      <c r="L60" s="3">
        <v>85.4</v>
      </c>
      <c r="M60" s="3">
        <v>110</v>
      </c>
    </row>
    <row r="61" spans="1:13" x14ac:dyDescent="0.2">
      <c r="A61" s="4">
        <v>46216</v>
      </c>
      <c r="B61" s="3" t="s">
        <v>27</v>
      </c>
      <c r="C61" s="3">
        <v>52</v>
      </c>
      <c r="D61" s="16" t="s">
        <v>126</v>
      </c>
      <c r="E61" s="17">
        <v>46216.698472222219</v>
      </c>
      <c r="F61" s="3">
        <v>48.4</v>
      </c>
      <c r="G61" s="3"/>
      <c r="H61" s="3"/>
      <c r="I61" s="18" t="str">
        <f t="shared" si="2"/>
        <v/>
      </c>
      <c r="J61" s="3">
        <v>252</v>
      </c>
      <c r="K61" s="19">
        <f t="shared" si="3"/>
        <v>5.2066115702479339</v>
      </c>
      <c r="L61" s="3">
        <v>104.1</v>
      </c>
      <c r="M61" s="3">
        <v>132</v>
      </c>
    </row>
    <row r="62" spans="1:13" x14ac:dyDescent="0.2">
      <c r="A62" s="4">
        <v>46217</v>
      </c>
      <c r="B62" s="3" t="s">
        <v>27</v>
      </c>
      <c r="C62" s="3">
        <v>52</v>
      </c>
      <c r="D62" s="16" t="s">
        <v>126</v>
      </c>
      <c r="E62" s="17">
        <v>46217.824965277781</v>
      </c>
      <c r="F62" s="3">
        <v>68.2</v>
      </c>
      <c r="G62" s="3"/>
      <c r="H62" s="3"/>
      <c r="I62" s="18" t="str">
        <f t="shared" si="2"/>
        <v/>
      </c>
      <c r="J62" s="3">
        <v>325</v>
      </c>
      <c r="K62" s="19">
        <f t="shared" si="3"/>
        <v>4.7653958944281527</v>
      </c>
      <c r="L62" s="3">
        <v>99.3</v>
      </c>
      <c r="M62" s="3">
        <v>129</v>
      </c>
    </row>
    <row r="63" spans="1:13" x14ac:dyDescent="0.2">
      <c r="A63" s="4">
        <v>46219</v>
      </c>
      <c r="B63" s="3" t="s">
        <v>27</v>
      </c>
      <c r="C63" s="3">
        <v>52</v>
      </c>
      <c r="D63" s="16" t="s">
        <v>126</v>
      </c>
      <c r="E63" s="17">
        <v>46219.870706018519</v>
      </c>
      <c r="F63" s="3">
        <v>71</v>
      </c>
      <c r="G63" s="3"/>
      <c r="H63" s="3"/>
      <c r="I63" s="18" t="str">
        <f t="shared" si="2"/>
        <v/>
      </c>
      <c r="J63" s="3">
        <v>365</v>
      </c>
      <c r="K63" s="19">
        <f t="shared" si="3"/>
        <v>5.140845070422535</v>
      </c>
      <c r="L63" s="3">
        <v>102.5</v>
      </c>
      <c r="M63" s="3">
        <v>134</v>
      </c>
    </row>
    <row r="64" spans="1:13" x14ac:dyDescent="0.2">
      <c r="A64" s="4">
        <v>46220</v>
      </c>
      <c r="B64" s="3" t="s">
        <v>27</v>
      </c>
      <c r="C64" s="3">
        <v>1</v>
      </c>
      <c r="D64" s="16" t="s">
        <v>128</v>
      </c>
      <c r="E64" s="17">
        <v>46220.327488425923</v>
      </c>
      <c r="F64" s="3">
        <v>11.1</v>
      </c>
      <c r="G64" s="3">
        <v>1373</v>
      </c>
      <c r="H64" s="3">
        <v>0.48506919155134742</v>
      </c>
      <c r="I64" s="18">
        <f t="shared" si="2"/>
        <v>8.084486525855791</v>
      </c>
      <c r="J64" s="3">
        <v>106.2595672607422</v>
      </c>
      <c r="K64" s="19">
        <f t="shared" si="3"/>
        <v>9.5729339874542525</v>
      </c>
      <c r="L64" s="3">
        <v>139.5</v>
      </c>
      <c r="M64" s="3">
        <v>155</v>
      </c>
    </row>
    <row r="65" spans="1:13" x14ac:dyDescent="0.2">
      <c r="A65" s="4">
        <v>46220</v>
      </c>
      <c r="B65" s="3" t="s">
        <v>27</v>
      </c>
      <c r="C65" s="3">
        <v>227</v>
      </c>
      <c r="D65" s="16" t="s">
        <v>130</v>
      </c>
      <c r="E65" s="17">
        <v>46220.738668981481</v>
      </c>
      <c r="F65" s="3">
        <v>47.8</v>
      </c>
      <c r="G65" s="3"/>
      <c r="H65" s="3"/>
      <c r="I65" s="18" t="str">
        <f t="shared" si="2"/>
        <v/>
      </c>
      <c r="J65" s="3">
        <v>269</v>
      </c>
      <c r="K65" s="19">
        <f t="shared" si="3"/>
        <v>5.6276150627615067</v>
      </c>
      <c r="L65" s="3">
        <v>106.7</v>
      </c>
      <c r="M65" s="3">
        <v>120</v>
      </c>
    </row>
    <row r="66" spans="1:13" x14ac:dyDescent="0.2">
      <c r="A66" s="4">
        <v>46221</v>
      </c>
      <c r="B66" s="3" t="s">
        <v>27</v>
      </c>
      <c r="C66" s="3">
        <v>49</v>
      </c>
      <c r="D66" s="16" t="s">
        <v>127</v>
      </c>
      <c r="E66" s="17">
        <v>46221.733298611107</v>
      </c>
      <c r="F66" s="3">
        <v>94.2</v>
      </c>
      <c r="G66" s="3"/>
      <c r="H66" s="3"/>
      <c r="I66" s="18" t="str">
        <f t="shared" ref="I66:I97" si="4">IF(AND(G66&gt;=500,H66&gt;0),H66*1000/60,"")</f>
        <v/>
      </c>
      <c r="J66" s="3">
        <v>1123</v>
      </c>
      <c r="K66" s="19">
        <f t="shared" ref="K66:K97" si="5">IF(F66&gt;0,J66/F66,"")</f>
        <v>11.92144373673036</v>
      </c>
      <c r="L66" s="3">
        <v>158.6</v>
      </c>
      <c r="M66" s="3">
        <v>180</v>
      </c>
    </row>
    <row r="67" spans="1:13" x14ac:dyDescent="0.2">
      <c r="A67" s="4">
        <v>46223</v>
      </c>
      <c r="B67" s="3" t="s">
        <v>27</v>
      </c>
      <c r="C67" s="3">
        <v>227</v>
      </c>
      <c r="D67" s="16" t="s">
        <v>130</v>
      </c>
      <c r="E67" s="17">
        <v>46223.179606481477</v>
      </c>
      <c r="F67" s="3">
        <v>31.5</v>
      </c>
      <c r="G67" s="3"/>
      <c r="H67" s="3"/>
      <c r="I67" s="18" t="str">
        <f t="shared" si="4"/>
        <v/>
      </c>
      <c r="J67" s="3">
        <v>171</v>
      </c>
      <c r="K67" s="19">
        <f t="shared" si="5"/>
        <v>5.4285714285714288</v>
      </c>
      <c r="L67" s="3">
        <v>104.7</v>
      </c>
      <c r="M67" s="3">
        <v>113</v>
      </c>
    </row>
    <row r="68" spans="1:13" x14ac:dyDescent="0.2">
      <c r="A68" s="4">
        <v>46224</v>
      </c>
      <c r="B68" s="3" t="s">
        <v>72</v>
      </c>
      <c r="C68" s="3">
        <v>52</v>
      </c>
      <c r="D68" s="16" t="s">
        <v>126</v>
      </c>
      <c r="E68" s="17">
        <v>46224.805902777778</v>
      </c>
      <c r="F68" s="3">
        <v>64.2</v>
      </c>
      <c r="G68" s="3"/>
      <c r="H68" s="3"/>
      <c r="I68" s="18" t="str">
        <f t="shared" si="4"/>
        <v/>
      </c>
      <c r="J68" s="3">
        <v>295</v>
      </c>
      <c r="K68" s="19">
        <f t="shared" si="5"/>
        <v>4.5950155763239877</v>
      </c>
      <c r="L68" s="3">
        <v>98.1</v>
      </c>
      <c r="M68" s="3">
        <v>116</v>
      </c>
    </row>
    <row r="69" spans="1:13" x14ac:dyDescent="0.2">
      <c r="A69" s="4">
        <v>46225</v>
      </c>
      <c r="B69" s="3" t="s">
        <v>72</v>
      </c>
      <c r="C69" s="3">
        <v>52</v>
      </c>
      <c r="D69" s="16" t="s">
        <v>126</v>
      </c>
      <c r="E69" s="17">
        <v>46225.745821759258</v>
      </c>
      <c r="F69" s="3">
        <v>53.5</v>
      </c>
      <c r="G69" s="3"/>
      <c r="H69" s="3"/>
      <c r="I69" s="18" t="str">
        <f t="shared" si="4"/>
        <v/>
      </c>
      <c r="J69" s="3">
        <v>238</v>
      </c>
      <c r="K69" s="19">
        <f t="shared" si="5"/>
        <v>4.4485981308411215</v>
      </c>
      <c r="L69" s="3">
        <v>96.8</v>
      </c>
      <c r="M69" s="3">
        <v>119</v>
      </c>
    </row>
    <row r="70" spans="1:13" x14ac:dyDescent="0.2">
      <c r="A70" s="4">
        <v>46225</v>
      </c>
      <c r="B70" s="3" t="s">
        <v>72</v>
      </c>
      <c r="C70" s="3">
        <v>49</v>
      </c>
      <c r="D70" s="16" t="s">
        <v>127</v>
      </c>
      <c r="E70" s="17">
        <v>46225.793032407397</v>
      </c>
      <c r="F70" s="3">
        <v>62.9</v>
      </c>
      <c r="G70" s="3"/>
      <c r="H70" s="3"/>
      <c r="I70" s="18" t="str">
        <f t="shared" si="4"/>
        <v/>
      </c>
      <c r="J70" s="3">
        <v>716</v>
      </c>
      <c r="K70" s="19">
        <f t="shared" si="5"/>
        <v>11.383147853736089</v>
      </c>
      <c r="L70" s="3">
        <v>153.80000000000001</v>
      </c>
      <c r="M70" s="3">
        <v>175</v>
      </c>
    </row>
    <row r="71" spans="1:13" x14ac:dyDescent="0.2">
      <c r="A71" s="4">
        <v>46228</v>
      </c>
      <c r="B71" s="3" t="s">
        <v>72</v>
      </c>
      <c r="C71" s="3">
        <v>49</v>
      </c>
      <c r="D71" s="16" t="s">
        <v>127</v>
      </c>
      <c r="E71" s="17">
        <v>46228.758252314823</v>
      </c>
      <c r="F71" s="3">
        <v>51.2</v>
      </c>
      <c r="G71" s="3"/>
      <c r="H71" s="3"/>
      <c r="I71" s="18" t="str">
        <f t="shared" si="4"/>
        <v/>
      </c>
      <c r="J71" s="3">
        <v>601</v>
      </c>
      <c r="K71" s="19">
        <f t="shared" si="5"/>
        <v>11.73828125</v>
      </c>
      <c r="L71" s="3">
        <v>156.80000000000001</v>
      </c>
      <c r="M71" s="3">
        <v>184</v>
      </c>
    </row>
    <row r="72" spans="1:13" x14ac:dyDescent="0.2">
      <c r="A72" s="4">
        <v>46228</v>
      </c>
      <c r="B72" s="3" t="s">
        <v>72</v>
      </c>
      <c r="C72" s="3">
        <v>49</v>
      </c>
      <c r="D72" s="16" t="s">
        <v>127</v>
      </c>
      <c r="E72" s="17">
        <v>46228.807858796303</v>
      </c>
      <c r="F72" s="3">
        <v>47.8</v>
      </c>
      <c r="G72" s="3"/>
      <c r="H72" s="3"/>
      <c r="I72" s="18" t="str">
        <f t="shared" si="4"/>
        <v/>
      </c>
      <c r="J72" s="3">
        <v>555</v>
      </c>
      <c r="K72" s="19">
        <f t="shared" si="5"/>
        <v>11.610878661087867</v>
      </c>
      <c r="L72" s="3">
        <v>156.4</v>
      </c>
      <c r="M72" s="3">
        <v>170</v>
      </c>
    </row>
    <row r="73" spans="1:13" x14ac:dyDescent="0.2">
      <c r="A73" s="4">
        <v>46230</v>
      </c>
      <c r="B73" s="3" t="s">
        <v>72</v>
      </c>
      <c r="C73" s="3">
        <v>52</v>
      </c>
      <c r="D73" s="16" t="s">
        <v>126</v>
      </c>
      <c r="E73" s="17">
        <v>46230.790219907409</v>
      </c>
      <c r="F73" s="3">
        <v>55.9</v>
      </c>
      <c r="G73" s="3"/>
      <c r="H73" s="3"/>
      <c r="I73" s="18" t="str">
        <f t="shared" si="4"/>
        <v/>
      </c>
      <c r="J73" s="3">
        <v>339</v>
      </c>
      <c r="K73" s="19">
        <f t="shared" si="5"/>
        <v>6.0644007155635062</v>
      </c>
      <c r="L73" s="3">
        <v>110.1</v>
      </c>
      <c r="M73" s="3">
        <v>147</v>
      </c>
    </row>
    <row r="74" spans="1:13" x14ac:dyDescent="0.2">
      <c r="A74" s="4">
        <v>46232</v>
      </c>
      <c r="B74" s="3" t="s">
        <v>72</v>
      </c>
      <c r="C74" s="3">
        <v>1</v>
      </c>
      <c r="D74" s="16" t="s">
        <v>128</v>
      </c>
      <c r="E74" s="17">
        <v>46232.256851851853</v>
      </c>
      <c r="F74" s="3">
        <v>20.9</v>
      </c>
      <c r="G74" s="3">
        <v>4018</v>
      </c>
      <c r="H74" s="3">
        <v>0.31209556993529119</v>
      </c>
      <c r="I74" s="18">
        <f t="shared" si="4"/>
        <v>5.2015928322548541</v>
      </c>
      <c r="J74" s="3">
        <v>274.66470336914062</v>
      </c>
      <c r="K74" s="19">
        <f t="shared" si="5"/>
        <v>13.141851835844051</v>
      </c>
      <c r="L74" s="3">
        <v>167.8</v>
      </c>
      <c r="M74" s="3">
        <v>182</v>
      </c>
    </row>
    <row r="75" spans="1:13" x14ac:dyDescent="0.2">
      <c r="A75" s="4">
        <v>46232</v>
      </c>
      <c r="B75" s="3" t="s">
        <v>72</v>
      </c>
      <c r="C75" s="3">
        <v>52</v>
      </c>
      <c r="D75" s="16" t="s">
        <v>126</v>
      </c>
      <c r="E75" s="17">
        <v>46232.655405092592</v>
      </c>
      <c r="F75" s="3">
        <v>56.6</v>
      </c>
      <c r="G75" s="3"/>
      <c r="H75" s="3"/>
      <c r="I75" s="18" t="str">
        <f t="shared" si="4"/>
        <v/>
      </c>
      <c r="J75" s="3">
        <v>214</v>
      </c>
      <c r="K75" s="19">
        <f t="shared" si="5"/>
        <v>3.7809187279151941</v>
      </c>
      <c r="L75" s="3">
        <v>90.7</v>
      </c>
      <c r="M75" s="3">
        <v>108</v>
      </c>
    </row>
    <row r="76" spans="1:13" x14ac:dyDescent="0.2">
      <c r="A76" s="4">
        <v>46232</v>
      </c>
      <c r="B76" s="3" t="s">
        <v>72</v>
      </c>
      <c r="C76" s="3">
        <v>49</v>
      </c>
      <c r="D76" s="16" t="s">
        <v>127</v>
      </c>
      <c r="E76" s="17">
        <v>46232.798344907409</v>
      </c>
      <c r="F76" s="3">
        <v>113.7</v>
      </c>
      <c r="G76" s="3"/>
      <c r="H76" s="3"/>
      <c r="I76" s="18" t="str">
        <f t="shared" si="4"/>
        <v/>
      </c>
      <c r="J76" s="3">
        <v>1319</v>
      </c>
      <c r="K76" s="19">
        <f t="shared" si="5"/>
        <v>11.60070360598065</v>
      </c>
      <c r="L76" s="3">
        <v>155.4</v>
      </c>
      <c r="M76" s="3">
        <v>178</v>
      </c>
    </row>
    <row r="77" spans="1:13" x14ac:dyDescent="0.2">
      <c r="A77" s="4">
        <v>46233</v>
      </c>
      <c r="B77" s="3" t="s">
        <v>72</v>
      </c>
      <c r="C77" s="3">
        <v>52</v>
      </c>
      <c r="D77" s="16" t="s">
        <v>126</v>
      </c>
      <c r="E77" s="17">
        <v>46233.825601851851</v>
      </c>
      <c r="F77" s="3">
        <v>18.399999999999999</v>
      </c>
      <c r="G77" s="3"/>
      <c r="H77" s="3"/>
      <c r="I77" s="18" t="str">
        <f t="shared" si="4"/>
        <v/>
      </c>
      <c r="J77" s="3">
        <v>72</v>
      </c>
      <c r="K77" s="19">
        <f t="shared" si="5"/>
        <v>3.9130434782608701</v>
      </c>
      <c r="L77" s="3">
        <v>91.5</v>
      </c>
      <c r="M77" s="3">
        <v>111</v>
      </c>
    </row>
    <row r="78" spans="1:13" x14ac:dyDescent="0.2">
      <c r="A78" s="4">
        <v>46233</v>
      </c>
      <c r="B78" s="3" t="s">
        <v>72</v>
      </c>
      <c r="C78" s="3">
        <v>8</v>
      </c>
      <c r="D78" s="16" t="s">
        <v>129</v>
      </c>
      <c r="E78" s="17">
        <v>46233.838842592602</v>
      </c>
      <c r="F78" s="3">
        <v>26.6</v>
      </c>
      <c r="G78" s="3">
        <v>2005</v>
      </c>
      <c r="H78" s="3">
        <v>0.7950124688279302</v>
      </c>
      <c r="I78" s="18">
        <f t="shared" si="4"/>
        <v>13.250207813798836</v>
      </c>
      <c r="J78" s="3">
        <v>187.3037109375</v>
      </c>
      <c r="K78" s="19">
        <f t="shared" si="5"/>
        <v>7.0414928923872173</v>
      </c>
      <c r="L78" s="3">
        <v>121.3</v>
      </c>
      <c r="M78" s="3">
        <v>127</v>
      </c>
    </row>
    <row r="79" spans="1:13" x14ac:dyDescent="0.2">
      <c r="A79" s="4">
        <v>46234</v>
      </c>
      <c r="B79" s="3" t="s">
        <v>72</v>
      </c>
      <c r="C79" s="3">
        <v>52</v>
      </c>
      <c r="D79" s="16" t="s">
        <v>126</v>
      </c>
      <c r="E79" s="17">
        <v>46234.734305555547</v>
      </c>
      <c r="F79" s="3">
        <v>67.8</v>
      </c>
      <c r="G79" s="3"/>
      <c r="H79" s="3"/>
      <c r="I79" s="18" t="str">
        <f t="shared" si="4"/>
        <v/>
      </c>
      <c r="J79" s="3">
        <v>202</v>
      </c>
      <c r="K79" s="19">
        <f t="shared" si="5"/>
        <v>2.9793510324483776</v>
      </c>
      <c r="L79" s="3">
        <v>84.3</v>
      </c>
      <c r="M79" s="3">
        <v>107</v>
      </c>
    </row>
    <row r="80" spans="1:13" x14ac:dyDescent="0.2">
      <c r="A80" s="4">
        <v>46234</v>
      </c>
      <c r="B80" s="3" t="s">
        <v>72</v>
      </c>
      <c r="C80" s="3">
        <v>49</v>
      </c>
      <c r="D80" s="16" t="s">
        <v>127</v>
      </c>
      <c r="E80" s="17">
        <v>46234.796377314808</v>
      </c>
      <c r="F80" s="3">
        <v>55.2</v>
      </c>
      <c r="G80" s="3"/>
      <c r="H80" s="3"/>
      <c r="I80" s="18" t="str">
        <f t="shared" si="4"/>
        <v/>
      </c>
      <c r="J80" s="3">
        <v>606</v>
      </c>
      <c r="K80" s="19">
        <f t="shared" si="5"/>
        <v>10.978260869565217</v>
      </c>
      <c r="L80" s="3">
        <v>150.30000000000001</v>
      </c>
      <c r="M80" s="3">
        <v>168</v>
      </c>
    </row>
    <row r="81" spans="1:13" x14ac:dyDescent="0.2">
      <c r="A81" s="4">
        <v>46240</v>
      </c>
      <c r="B81" s="3" t="s">
        <v>72</v>
      </c>
      <c r="C81" s="3">
        <v>52</v>
      </c>
      <c r="D81" s="16" t="s">
        <v>126</v>
      </c>
      <c r="E81" s="17">
        <v>46240.831921296303</v>
      </c>
      <c r="F81" s="3">
        <v>40.799999999999997</v>
      </c>
      <c r="G81" s="3"/>
      <c r="H81" s="3"/>
      <c r="I81" s="18" t="str">
        <f t="shared" si="4"/>
        <v/>
      </c>
      <c r="J81" s="3">
        <v>116</v>
      </c>
      <c r="K81" s="19">
        <f t="shared" si="5"/>
        <v>2.8431372549019609</v>
      </c>
      <c r="L81" s="3">
        <v>83.3</v>
      </c>
      <c r="M81" s="3">
        <v>106</v>
      </c>
    </row>
    <row r="82" spans="1:13" x14ac:dyDescent="0.2">
      <c r="A82" s="4">
        <v>46241</v>
      </c>
      <c r="B82" s="3" t="s">
        <v>72</v>
      </c>
      <c r="C82" s="3">
        <v>49</v>
      </c>
      <c r="D82" s="16" t="s">
        <v>127</v>
      </c>
      <c r="E82" s="17">
        <v>46241.799571759257</v>
      </c>
      <c r="F82" s="3">
        <v>50.8</v>
      </c>
      <c r="G82" s="3"/>
      <c r="H82" s="3"/>
      <c r="I82" s="18" t="str">
        <f t="shared" si="4"/>
        <v/>
      </c>
      <c r="J82" s="3">
        <v>547</v>
      </c>
      <c r="K82" s="19">
        <f t="shared" si="5"/>
        <v>10.767716535433072</v>
      </c>
      <c r="L82" s="3">
        <v>148.80000000000001</v>
      </c>
      <c r="M82" s="3">
        <v>164</v>
      </c>
    </row>
    <row r="83" spans="1:13" x14ac:dyDescent="0.2">
      <c r="A83" s="4">
        <v>46242</v>
      </c>
      <c r="B83" s="3" t="s">
        <v>72</v>
      </c>
      <c r="C83" s="3">
        <v>1</v>
      </c>
      <c r="D83" s="16" t="s">
        <v>128</v>
      </c>
      <c r="E83" s="17">
        <v>46242.289733796293</v>
      </c>
      <c r="F83" s="3">
        <v>49.9</v>
      </c>
      <c r="G83" s="3">
        <v>4664</v>
      </c>
      <c r="H83" s="3">
        <v>0.64108061749571188</v>
      </c>
      <c r="I83" s="18">
        <f t="shared" si="4"/>
        <v>10.684676958261864</v>
      </c>
      <c r="J83" s="3">
        <v>368.60299682617188</v>
      </c>
      <c r="K83" s="19">
        <f t="shared" si="5"/>
        <v>7.3868336037308993</v>
      </c>
      <c r="L83" s="3">
        <v>135.4</v>
      </c>
      <c r="M83" s="3">
        <v>164</v>
      </c>
    </row>
    <row r="84" spans="1:13" x14ac:dyDescent="0.2">
      <c r="A84" s="4">
        <v>46242</v>
      </c>
      <c r="B84" s="3" t="s">
        <v>72</v>
      </c>
      <c r="C84" s="3">
        <v>49</v>
      </c>
      <c r="D84" s="16" t="s">
        <v>127</v>
      </c>
      <c r="E84" s="17">
        <v>46242.765509259261</v>
      </c>
      <c r="F84" s="3">
        <v>103.3</v>
      </c>
      <c r="G84" s="3"/>
      <c r="H84" s="3"/>
      <c r="I84" s="18" t="str">
        <f t="shared" si="4"/>
        <v/>
      </c>
      <c r="J84" s="3">
        <v>946</v>
      </c>
      <c r="K84" s="19">
        <f t="shared" si="5"/>
        <v>9.1577928363988388</v>
      </c>
      <c r="L84" s="3">
        <v>135.30000000000001</v>
      </c>
      <c r="M84" s="3">
        <v>164</v>
      </c>
    </row>
    <row r="85" spans="1:13" x14ac:dyDescent="0.2">
      <c r="A85" s="4">
        <v>46243</v>
      </c>
      <c r="B85" s="3" t="s">
        <v>72</v>
      </c>
      <c r="C85" s="3">
        <v>9</v>
      </c>
      <c r="D85" s="16" t="s">
        <v>132</v>
      </c>
      <c r="E85" s="17">
        <v>46243.38449074074</v>
      </c>
      <c r="F85" s="3">
        <v>75.8</v>
      </c>
      <c r="G85" s="3">
        <v>21060</v>
      </c>
      <c r="H85" s="3">
        <v>0.21585944919278249</v>
      </c>
      <c r="I85" s="18">
        <f t="shared" si="4"/>
        <v>3.5976574865463751</v>
      </c>
      <c r="J85" s="3">
        <v>533.68170166015625</v>
      </c>
      <c r="K85" s="19">
        <f t="shared" si="5"/>
        <v>7.0406556947250172</v>
      </c>
      <c r="L85" s="3">
        <v>100.5</v>
      </c>
      <c r="M85" s="3">
        <v>142</v>
      </c>
    </row>
    <row r="86" spans="1:13" x14ac:dyDescent="0.2">
      <c r="A86" s="4">
        <v>46243</v>
      </c>
      <c r="B86" s="3" t="s">
        <v>72</v>
      </c>
      <c r="C86" s="3">
        <v>85</v>
      </c>
      <c r="D86" s="16" t="s">
        <v>131</v>
      </c>
      <c r="E86" s="17">
        <v>46243.796666666669</v>
      </c>
      <c r="F86" s="3">
        <v>12.7</v>
      </c>
      <c r="G86" s="3"/>
      <c r="H86" s="3"/>
      <c r="I86" s="18" t="str">
        <f t="shared" si="4"/>
        <v/>
      </c>
      <c r="J86" s="3">
        <v>103</v>
      </c>
      <c r="K86" s="19">
        <f t="shared" si="5"/>
        <v>8.1102362204724407</v>
      </c>
      <c r="L86" s="3">
        <v>113.9</v>
      </c>
      <c r="M86" s="3">
        <v>136</v>
      </c>
    </row>
    <row r="87" spans="1:13" x14ac:dyDescent="0.2">
      <c r="A87" s="4">
        <v>46243</v>
      </c>
      <c r="B87" s="3" t="s">
        <v>72</v>
      </c>
      <c r="C87" s="3">
        <v>85</v>
      </c>
      <c r="D87" s="16" t="s">
        <v>131</v>
      </c>
      <c r="E87" s="17">
        <v>46243.896932870368</v>
      </c>
      <c r="F87" s="3">
        <v>9.9</v>
      </c>
      <c r="G87" s="3"/>
      <c r="H87" s="3"/>
      <c r="I87" s="18" t="str">
        <f t="shared" si="4"/>
        <v/>
      </c>
      <c r="J87" s="3">
        <v>109</v>
      </c>
      <c r="K87" s="19">
        <f t="shared" si="5"/>
        <v>11.01010101010101</v>
      </c>
      <c r="L87" s="3">
        <v>150.80000000000001</v>
      </c>
      <c r="M87" s="3">
        <v>177</v>
      </c>
    </row>
    <row r="88" spans="1:13" x14ac:dyDescent="0.2">
      <c r="A88" s="4">
        <v>46244</v>
      </c>
      <c r="B88" s="3" t="s">
        <v>72</v>
      </c>
      <c r="C88" s="3">
        <v>52</v>
      </c>
      <c r="D88" s="16" t="s">
        <v>126</v>
      </c>
      <c r="E88" s="17">
        <v>46244.725162037037</v>
      </c>
      <c r="F88" s="3">
        <v>42.5</v>
      </c>
      <c r="G88" s="3"/>
      <c r="H88" s="3"/>
      <c r="I88" s="18" t="str">
        <f t="shared" si="4"/>
        <v/>
      </c>
      <c r="J88" s="3">
        <v>102</v>
      </c>
      <c r="K88" s="19">
        <f t="shared" si="5"/>
        <v>2.4</v>
      </c>
      <c r="L88" s="3">
        <v>78.5</v>
      </c>
      <c r="M88" s="3">
        <v>100</v>
      </c>
    </row>
    <row r="89" spans="1:13" x14ac:dyDescent="0.2">
      <c r="A89" s="4">
        <v>46245</v>
      </c>
      <c r="B89" s="3" t="s">
        <v>72</v>
      </c>
      <c r="C89" s="3">
        <v>52</v>
      </c>
      <c r="D89" s="16" t="s">
        <v>126</v>
      </c>
      <c r="E89" s="17">
        <v>46245.825671296298</v>
      </c>
      <c r="F89" s="3">
        <v>47.5</v>
      </c>
      <c r="G89" s="3"/>
      <c r="H89" s="3"/>
      <c r="I89" s="18" t="str">
        <f t="shared" si="4"/>
        <v/>
      </c>
      <c r="J89" s="3">
        <v>163</v>
      </c>
      <c r="K89" s="19">
        <f t="shared" si="5"/>
        <v>3.4315789473684211</v>
      </c>
      <c r="L89" s="3">
        <v>87.7</v>
      </c>
      <c r="M89" s="3">
        <v>108</v>
      </c>
    </row>
    <row r="90" spans="1:13" x14ac:dyDescent="0.2">
      <c r="A90" s="4">
        <v>46246</v>
      </c>
      <c r="B90" s="3" t="s">
        <v>72</v>
      </c>
      <c r="C90" s="3">
        <v>8</v>
      </c>
      <c r="D90" s="16" t="s">
        <v>129</v>
      </c>
      <c r="E90" s="17">
        <v>46246.742962962962</v>
      </c>
      <c r="F90" s="3">
        <v>51.4</v>
      </c>
      <c r="G90" s="3">
        <v>3592</v>
      </c>
      <c r="H90" s="3">
        <v>0.86859688195991092</v>
      </c>
      <c r="I90" s="18">
        <f t="shared" si="4"/>
        <v>14.476614699331849</v>
      </c>
      <c r="J90" s="3">
        <v>335.21481323242188</v>
      </c>
      <c r="K90" s="19">
        <f t="shared" si="5"/>
        <v>6.521688973393422</v>
      </c>
      <c r="L90" s="3">
        <v>135.30000000000001</v>
      </c>
      <c r="M90" s="3">
        <v>174</v>
      </c>
    </row>
    <row r="91" spans="1:13" x14ac:dyDescent="0.2">
      <c r="A91" s="4">
        <v>46246</v>
      </c>
      <c r="B91" s="3" t="s">
        <v>72</v>
      </c>
      <c r="C91" s="3">
        <v>49</v>
      </c>
      <c r="D91" s="16" t="s">
        <v>127</v>
      </c>
      <c r="E91" s="17">
        <v>46246.800300925926</v>
      </c>
      <c r="F91" s="3">
        <v>49.9</v>
      </c>
      <c r="G91" s="3"/>
      <c r="H91" s="3"/>
      <c r="I91" s="18" t="str">
        <f t="shared" si="4"/>
        <v/>
      </c>
      <c r="J91" s="3">
        <v>623</v>
      </c>
      <c r="K91" s="19">
        <f t="shared" si="5"/>
        <v>12.484969939879759</v>
      </c>
      <c r="L91" s="3">
        <v>163</v>
      </c>
      <c r="M91" s="3">
        <v>176</v>
      </c>
    </row>
    <row r="92" spans="1:13" x14ac:dyDescent="0.2">
      <c r="A92" s="4">
        <v>46247</v>
      </c>
      <c r="B92" s="3" t="s">
        <v>72</v>
      </c>
      <c r="C92" s="3">
        <v>52</v>
      </c>
      <c r="D92" s="16" t="s">
        <v>126</v>
      </c>
      <c r="E92" s="17">
        <v>46247.822685185187</v>
      </c>
      <c r="F92" s="3">
        <v>62.4</v>
      </c>
      <c r="G92" s="3"/>
      <c r="H92" s="3"/>
      <c r="I92" s="18" t="str">
        <f t="shared" si="4"/>
        <v/>
      </c>
      <c r="J92" s="3">
        <v>219</v>
      </c>
      <c r="K92" s="19">
        <f t="shared" si="5"/>
        <v>3.5096153846153846</v>
      </c>
      <c r="L92" s="3">
        <v>88.3</v>
      </c>
      <c r="M92" s="3">
        <v>109</v>
      </c>
    </row>
    <row r="93" spans="1:13" x14ac:dyDescent="0.2">
      <c r="A93" s="4">
        <v>46248</v>
      </c>
      <c r="B93" s="3" t="s">
        <v>72</v>
      </c>
      <c r="C93" s="3">
        <v>52</v>
      </c>
      <c r="D93" s="16" t="s">
        <v>126</v>
      </c>
      <c r="E93" s="17">
        <v>46248.553067129629</v>
      </c>
      <c r="F93" s="3">
        <v>76.099999999999994</v>
      </c>
      <c r="G93" s="3"/>
      <c r="H93" s="3"/>
      <c r="I93" s="18" t="str">
        <f t="shared" si="4"/>
        <v/>
      </c>
      <c r="J93" s="3">
        <v>453</v>
      </c>
      <c r="K93" s="19">
        <f t="shared" si="5"/>
        <v>5.9526938239159009</v>
      </c>
      <c r="L93" s="3">
        <v>108.5</v>
      </c>
      <c r="M93" s="3">
        <v>130</v>
      </c>
    </row>
    <row r="94" spans="1:13" x14ac:dyDescent="0.2">
      <c r="A94" s="4">
        <v>46248</v>
      </c>
      <c r="B94" s="3" t="s">
        <v>72</v>
      </c>
      <c r="C94" s="3">
        <v>49</v>
      </c>
      <c r="D94" s="16" t="s">
        <v>127</v>
      </c>
      <c r="E94" s="17">
        <v>46248.712523148148</v>
      </c>
      <c r="F94" s="3">
        <v>71.2</v>
      </c>
      <c r="G94" s="3"/>
      <c r="H94" s="3"/>
      <c r="I94" s="18" t="str">
        <f t="shared" si="4"/>
        <v/>
      </c>
      <c r="J94" s="3">
        <v>726</v>
      </c>
      <c r="K94" s="19">
        <f t="shared" si="5"/>
        <v>10.196629213483146</v>
      </c>
      <c r="L94" s="3">
        <v>144.19999999999999</v>
      </c>
      <c r="M94" s="3">
        <v>168</v>
      </c>
    </row>
    <row r="95" spans="1:13" x14ac:dyDescent="0.2">
      <c r="A95" s="4">
        <v>46251</v>
      </c>
      <c r="B95" s="3" t="s">
        <v>72</v>
      </c>
      <c r="C95" s="3">
        <v>227</v>
      </c>
      <c r="D95" s="16" t="s">
        <v>130</v>
      </c>
      <c r="E95" s="17">
        <v>46251.715092592603</v>
      </c>
      <c r="F95" s="3">
        <v>51.8</v>
      </c>
      <c r="G95" s="3"/>
      <c r="H95" s="3"/>
      <c r="I95" s="18" t="str">
        <f t="shared" si="4"/>
        <v/>
      </c>
      <c r="J95" s="3">
        <v>329</v>
      </c>
      <c r="K95" s="19">
        <f t="shared" si="5"/>
        <v>6.3513513513513518</v>
      </c>
      <c r="L95" s="3">
        <v>111.9</v>
      </c>
      <c r="M95" s="3">
        <v>135</v>
      </c>
    </row>
    <row r="96" spans="1:13" x14ac:dyDescent="0.2">
      <c r="A96" s="4">
        <v>46251</v>
      </c>
      <c r="B96" s="3" t="s">
        <v>72</v>
      </c>
      <c r="C96" s="3">
        <v>52</v>
      </c>
      <c r="D96" s="16" t="s">
        <v>126</v>
      </c>
      <c r="E96" s="17">
        <v>46251.844247685192</v>
      </c>
      <c r="F96" s="3">
        <v>50.8</v>
      </c>
      <c r="G96" s="3"/>
      <c r="H96" s="3"/>
      <c r="I96" s="18" t="str">
        <f t="shared" si="4"/>
        <v/>
      </c>
      <c r="J96" s="3">
        <v>254</v>
      </c>
      <c r="K96" s="19">
        <f t="shared" si="5"/>
        <v>5</v>
      </c>
      <c r="L96" s="3">
        <v>100.8</v>
      </c>
      <c r="M96" s="3">
        <v>118</v>
      </c>
    </row>
    <row r="97" spans="1:13" x14ac:dyDescent="0.2">
      <c r="A97" s="4">
        <v>46253</v>
      </c>
      <c r="B97" s="3" t="s">
        <v>72</v>
      </c>
      <c r="C97" s="3">
        <v>8</v>
      </c>
      <c r="D97" s="16" t="s">
        <v>129</v>
      </c>
      <c r="E97" s="17">
        <v>46253.743981481479</v>
      </c>
      <c r="F97" s="3">
        <v>31.9</v>
      </c>
      <c r="G97" s="3">
        <v>152</v>
      </c>
      <c r="H97" s="3">
        <v>12.60526315789474</v>
      </c>
      <c r="I97" s="18" t="str">
        <f t="shared" si="4"/>
        <v/>
      </c>
      <c r="J97" s="3">
        <v>9.0213441848754883</v>
      </c>
      <c r="K97" s="19">
        <f t="shared" si="5"/>
        <v>0.28280075814656702</v>
      </c>
      <c r="L97" s="3">
        <v>144</v>
      </c>
      <c r="M97" s="3">
        <v>169</v>
      </c>
    </row>
    <row r="98" spans="1:13" x14ac:dyDescent="0.2">
      <c r="A98" s="4">
        <v>46253</v>
      </c>
      <c r="B98" s="3" t="s">
        <v>72</v>
      </c>
      <c r="C98" s="3">
        <v>191</v>
      </c>
      <c r="D98" s="16" t="s">
        <v>133</v>
      </c>
      <c r="E98" s="17">
        <v>46253.797037037039</v>
      </c>
      <c r="F98" s="3">
        <v>54.2</v>
      </c>
      <c r="G98" s="3"/>
      <c r="H98" s="3"/>
      <c r="I98" s="18" t="str">
        <f t="shared" ref="I98:I129" si="6">IF(AND(G98&gt;=500,H98&gt;0),H98*1000/60,"")</f>
        <v/>
      </c>
      <c r="J98" s="3">
        <v>637</v>
      </c>
      <c r="K98" s="19">
        <f t="shared" ref="K98:K129" si="7">IF(F98&gt;0,J98/F98,"")</f>
        <v>11.752767527675276</v>
      </c>
      <c r="L98" s="3">
        <v>157.19999999999999</v>
      </c>
      <c r="M98" s="3">
        <v>173</v>
      </c>
    </row>
    <row r="99" spans="1:13" x14ac:dyDescent="0.2">
      <c r="A99" s="4">
        <v>46254</v>
      </c>
      <c r="B99" s="3" t="s">
        <v>72</v>
      </c>
      <c r="C99" s="3">
        <v>191</v>
      </c>
      <c r="D99" s="16" t="s">
        <v>133</v>
      </c>
      <c r="E99" s="17">
        <v>46254.801701388889</v>
      </c>
      <c r="F99" s="3">
        <v>103.1</v>
      </c>
      <c r="G99" s="3"/>
      <c r="H99" s="3"/>
      <c r="I99" s="18" t="str">
        <f t="shared" si="6"/>
        <v/>
      </c>
      <c r="J99" s="3">
        <v>942</v>
      </c>
      <c r="K99" s="19">
        <f t="shared" si="7"/>
        <v>9.1367604267701275</v>
      </c>
      <c r="L99" s="3">
        <v>135.80000000000001</v>
      </c>
      <c r="M99" s="3">
        <v>170</v>
      </c>
    </row>
    <row r="100" spans="1:13" x14ac:dyDescent="0.2">
      <c r="A100" s="4">
        <v>46255</v>
      </c>
      <c r="B100" s="3" t="s">
        <v>72</v>
      </c>
      <c r="C100" s="3">
        <v>191</v>
      </c>
      <c r="D100" s="16" t="s">
        <v>133</v>
      </c>
      <c r="E100" s="17">
        <v>46255.757488425923</v>
      </c>
      <c r="F100" s="3">
        <v>77.599999999999994</v>
      </c>
      <c r="G100" s="3"/>
      <c r="H100" s="3"/>
      <c r="I100" s="18" t="str">
        <f t="shared" si="6"/>
        <v/>
      </c>
      <c r="J100" s="3">
        <v>787</v>
      </c>
      <c r="K100" s="19">
        <f t="shared" si="7"/>
        <v>10.141752577319588</v>
      </c>
      <c r="L100" s="3">
        <v>143.6</v>
      </c>
      <c r="M100" s="3">
        <v>172</v>
      </c>
    </row>
    <row r="101" spans="1:13" x14ac:dyDescent="0.2">
      <c r="A101" s="4">
        <v>46256</v>
      </c>
      <c r="B101" s="3" t="s">
        <v>72</v>
      </c>
      <c r="C101" s="3">
        <v>85</v>
      </c>
      <c r="D101" s="16" t="s">
        <v>131</v>
      </c>
      <c r="E101" s="17">
        <v>46256.607881944437</v>
      </c>
      <c r="F101" s="3">
        <v>29.4</v>
      </c>
      <c r="G101" s="3"/>
      <c r="H101" s="3"/>
      <c r="I101" s="18" t="str">
        <f t="shared" si="6"/>
        <v/>
      </c>
      <c r="J101" s="3">
        <v>290</v>
      </c>
      <c r="K101" s="19">
        <f t="shared" si="7"/>
        <v>9.8639455782312933</v>
      </c>
      <c r="L101" s="3">
        <v>141.30000000000001</v>
      </c>
      <c r="M101" s="3">
        <v>184</v>
      </c>
    </row>
    <row r="102" spans="1:13" x14ac:dyDescent="0.2">
      <c r="A102" s="4">
        <v>46257</v>
      </c>
      <c r="B102" s="3" t="s">
        <v>72</v>
      </c>
      <c r="C102" s="3">
        <v>1</v>
      </c>
      <c r="D102" s="16" t="s">
        <v>128</v>
      </c>
      <c r="E102" s="17">
        <v>46257.536249999997</v>
      </c>
      <c r="F102" s="3">
        <v>11.6</v>
      </c>
      <c r="G102" s="3">
        <v>1899</v>
      </c>
      <c r="H102" s="3">
        <v>0.36545550289626122</v>
      </c>
      <c r="I102" s="18">
        <f t="shared" si="6"/>
        <v>6.0909250482710204</v>
      </c>
      <c r="J102" s="3">
        <v>126.5424728393555</v>
      </c>
      <c r="K102" s="19">
        <f t="shared" si="7"/>
        <v>10.908833865461681</v>
      </c>
      <c r="L102" s="3">
        <v>151.5</v>
      </c>
      <c r="M102" s="3">
        <v>163</v>
      </c>
    </row>
    <row r="103" spans="1:13" x14ac:dyDescent="0.2">
      <c r="A103" s="4">
        <v>46257</v>
      </c>
      <c r="B103" s="3" t="s">
        <v>72</v>
      </c>
      <c r="C103" s="3">
        <v>8</v>
      </c>
      <c r="D103" s="16" t="s">
        <v>129</v>
      </c>
      <c r="E103" s="17">
        <v>46257.565775462957</v>
      </c>
      <c r="F103" s="3">
        <v>26.7</v>
      </c>
      <c r="G103" s="3">
        <v>2833</v>
      </c>
      <c r="H103" s="3">
        <v>0.56547829156371343</v>
      </c>
      <c r="I103" s="18">
        <f t="shared" si="6"/>
        <v>9.4246381927285583</v>
      </c>
      <c r="J103" s="3">
        <v>288.73300170898438</v>
      </c>
      <c r="K103" s="19">
        <f t="shared" si="7"/>
        <v>10.81397010146009</v>
      </c>
      <c r="L103" s="3">
        <v>150.19999999999999</v>
      </c>
      <c r="M103" s="3">
        <v>157</v>
      </c>
    </row>
    <row r="104" spans="1:13" x14ac:dyDescent="0.2">
      <c r="A104" s="4">
        <v>46258</v>
      </c>
      <c r="B104" s="3" t="s">
        <v>72</v>
      </c>
      <c r="C104" s="3">
        <v>52</v>
      </c>
      <c r="D104" s="16" t="s">
        <v>126</v>
      </c>
      <c r="E104" s="17">
        <v>46258.875416666669</v>
      </c>
      <c r="F104" s="3">
        <v>44.4</v>
      </c>
      <c r="G104" s="3"/>
      <c r="H104" s="3"/>
      <c r="I104" s="18" t="str">
        <f t="shared" si="6"/>
        <v/>
      </c>
      <c r="J104" s="3">
        <v>140</v>
      </c>
      <c r="K104" s="19">
        <f t="shared" si="7"/>
        <v>3.1531531531531534</v>
      </c>
      <c r="L104" s="3">
        <v>85.6</v>
      </c>
      <c r="M104" s="3">
        <v>103</v>
      </c>
    </row>
    <row r="105" spans="1:13" x14ac:dyDescent="0.2">
      <c r="A105" s="4">
        <v>46259</v>
      </c>
      <c r="B105" s="3" t="s">
        <v>72</v>
      </c>
      <c r="C105" s="3">
        <v>1</v>
      </c>
      <c r="D105" s="16" t="s">
        <v>128</v>
      </c>
      <c r="E105" s="17">
        <v>46259.266273148147</v>
      </c>
      <c r="F105" s="3">
        <v>65.400000000000006</v>
      </c>
      <c r="G105" s="3">
        <v>10256</v>
      </c>
      <c r="H105" s="3">
        <v>0.38250780031201248</v>
      </c>
      <c r="I105" s="18">
        <f t="shared" si="6"/>
        <v>6.3751300052002078</v>
      </c>
      <c r="J105" s="3">
        <v>798.318115234375</v>
      </c>
      <c r="K105" s="19">
        <f t="shared" si="7"/>
        <v>12.206699009699923</v>
      </c>
      <c r="L105" s="3">
        <v>162.5</v>
      </c>
      <c r="M105" s="3">
        <v>175</v>
      </c>
    </row>
    <row r="106" spans="1:13" x14ac:dyDescent="0.2">
      <c r="A106" s="4">
        <v>46259</v>
      </c>
      <c r="B106" s="3" t="s">
        <v>72</v>
      </c>
      <c r="C106" s="3">
        <v>52</v>
      </c>
      <c r="D106" s="16" t="s">
        <v>126</v>
      </c>
      <c r="E106" s="17">
        <v>46259.894155092603</v>
      </c>
      <c r="F106" s="3">
        <v>50.4</v>
      </c>
      <c r="G106" s="3"/>
      <c r="H106" s="3"/>
      <c r="I106" s="18" t="str">
        <f t="shared" si="6"/>
        <v/>
      </c>
      <c r="J106" s="3">
        <v>113</v>
      </c>
      <c r="K106" s="19">
        <f t="shared" si="7"/>
        <v>2.2420634920634921</v>
      </c>
      <c r="L106" s="3">
        <v>77.900000000000006</v>
      </c>
      <c r="M106" s="3">
        <v>106</v>
      </c>
    </row>
    <row r="107" spans="1:13" x14ac:dyDescent="0.2">
      <c r="A107" s="4">
        <v>46260</v>
      </c>
      <c r="B107" s="3" t="s">
        <v>72</v>
      </c>
      <c r="C107" s="3">
        <v>191</v>
      </c>
      <c r="D107" s="16" t="s">
        <v>133</v>
      </c>
      <c r="E107" s="17">
        <v>46260.797094907408</v>
      </c>
      <c r="F107" s="3">
        <v>55</v>
      </c>
      <c r="G107" s="3"/>
      <c r="H107" s="3"/>
      <c r="I107" s="18" t="str">
        <f t="shared" si="6"/>
        <v/>
      </c>
      <c r="J107" s="3">
        <v>677</v>
      </c>
      <c r="K107" s="19">
        <f t="shared" si="7"/>
        <v>12.309090909090909</v>
      </c>
      <c r="L107" s="3">
        <v>161.1</v>
      </c>
      <c r="M107" s="3">
        <v>172</v>
      </c>
    </row>
    <row r="108" spans="1:13" x14ac:dyDescent="0.2">
      <c r="A108" s="4">
        <v>46261</v>
      </c>
      <c r="B108" s="3" t="s">
        <v>72</v>
      </c>
      <c r="C108" s="3">
        <v>52</v>
      </c>
      <c r="D108" s="16" t="s">
        <v>126</v>
      </c>
      <c r="E108" s="17">
        <v>46261.817280092589</v>
      </c>
      <c r="F108" s="3">
        <v>69.099999999999994</v>
      </c>
      <c r="G108" s="3"/>
      <c r="H108" s="3"/>
      <c r="I108" s="18" t="str">
        <f t="shared" si="6"/>
        <v/>
      </c>
      <c r="J108" s="3">
        <v>200</v>
      </c>
      <c r="K108" s="19">
        <f t="shared" si="7"/>
        <v>2.8943560057887123</v>
      </c>
      <c r="L108" s="3">
        <v>83.4</v>
      </c>
      <c r="M108" s="3">
        <v>111</v>
      </c>
    </row>
    <row r="109" spans="1:13" x14ac:dyDescent="0.2">
      <c r="A109" s="4">
        <v>46261</v>
      </c>
      <c r="B109" s="3" t="s">
        <v>72</v>
      </c>
      <c r="C109" s="3">
        <v>49</v>
      </c>
      <c r="D109" s="16" t="s">
        <v>127</v>
      </c>
      <c r="E109" s="17">
        <v>46261.86582175926</v>
      </c>
      <c r="F109" s="3">
        <v>41.6</v>
      </c>
      <c r="G109" s="3"/>
      <c r="H109" s="3"/>
      <c r="I109" s="18" t="str">
        <f t="shared" si="6"/>
        <v/>
      </c>
      <c r="J109" s="3">
        <v>393</v>
      </c>
      <c r="K109" s="19">
        <f t="shared" si="7"/>
        <v>9.447115384615385</v>
      </c>
      <c r="L109" s="3">
        <v>137.4</v>
      </c>
      <c r="M109" s="3">
        <v>169</v>
      </c>
    </row>
    <row r="110" spans="1:13" x14ac:dyDescent="0.2">
      <c r="A110" s="4">
        <v>46264</v>
      </c>
      <c r="B110" s="3" t="s">
        <v>72</v>
      </c>
      <c r="C110" s="3">
        <v>1</v>
      </c>
      <c r="D110" s="16" t="s">
        <v>128</v>
      </c>
      <c r="E110" s="17">
        <v>46264.318807870368</v>
      </c>
      <c r="F110" s="3">
        <v>19.899999999999999</v>
      </c>
      <c r="G110" s="3">
        <v>3135</v>
      </c>
      <c r="H110" s="3">
        <v>0.38086124401913868</v>
      </c>
      <c r="I110" s="18">
        <f t="shared" si="6"/>
        <v>6.3476874003189776</v>
      </c>
      <c r="J110" s="3">
        <v>140.63995361328119</v>
      </c>
      <c r="K110" s="19">
        <f t="shared" si="7"/>
        <v>7.0673343524261911</v>
      </c>
      <c r="L110" s="3">
        <v>129.30000000000001</v>
      </c>
      <c r="M110" s="3">
        <v>142</v>
      </c>
    </row>
    <row r="111" spans="1:13" x14ac:dyDescent="0.2">
      <c r="A111" s="4">
        <v>46264</v>
      </c>
      <c r="B111" s="3" t="s">
        <v>72</v>
      </c>
      <c r="C111" s="3">
        <v>52</v>
      </c>
      <c r="D111" s="16" t="s">
        <v>126</v>
      </c>
      <c r="E111" s="17">
        <v>46264.420949074083</v>
      </c>
      <c r="F111" s="3">
        <v>57.2</v>
      </c>
      <c r="G111" s="3"/>
      <c r="H111" s="3"/>
      <c r="I111" s="18" t="str">
        <f t="shared" si="6"/>
        <v/>
      </c>
      <c r="J111" s="3">
        <v>233</v>
      </c>
      <c r="K111" s="19">
        <f t="shared" si="7"/>
        <v>4.0734265734265733</v>
      </c>
      <c r="L111" s="3">
        <v>93.2</v>
      </c>
      <c r="M111" s="3">
        <v>126</v>
      </c>
    </row>
    <row r="112" spans="1:13" x14ac:dyDescent="0.2">
      <c r="A112" s="4">
        <v>46264</v>
      </c>
      <c r="B112" s="3" t="s">
        <v>72</v>
      </c>
      <c r="C112" s="3">
        <v>191</v>
      </c>
      <c r="D112" s="16" t="s">
        <v>133</v>
      </c>
      <c r="E112" s="17">
        <v>46264.799224537041</v>
      </c>
      <c r="F112" s="3">
        <v>50.8</v>
      </c>
      <c r="G112" s="3"/>
      <c r="H112" s="3"/>
      <c r="I112" s="18" t="str">
        <f t="shared" si="6"/>
        <v/>
      </c>
      <c r="J112" s="3">
        <v>589</v>
      </c>
      <c r="K112" s="19">
        <f t="shared" si="7"/>
        <v>11.594488188976378</v>
      </c>
      <c r="L112" s="3">
        <v>155.19999999999999</v>
      </c>
      <c r="M112" s="3">
        <v>172</v>
      </c>
    </row>
    <row r="113" spans="1:13" x14ac:dyDescent="0.2">
      <c r="A113" s="4">
        <v>46267</v>
      </c>
      <c r="B113" s="3" t="s">
        <v>72</v>
      </c>
      <c r="C113" s="3">
        <v>191</v>
      </c>
      <c r="D113" s="16" t="s">
        <v>133</v>
      </c>
      <c r="E113" s="17">
        <v>46267.797465277778</v>
      </c>
      <c r="F113" s="3">
        <v>54.4</v>
      </c>
      <c r="G113" s="3"/>
      <c r="H113" s="3"/>
      <c r="I113" s="18" t="str">
        <f t="shared" si="6"/>
        <v/>
      </c>
      <c r="J113" s="3">
        <v>588</v>
      </c>
      <c r="K113" s="19">
        <f t="shared" si="7"/>
        <v>10.808823529411764</v>
      </c>
      <c r="L113" s="3">
        <v>149.5</v>
      </c>
      <c r="M113" s="3">
        <v>174</v>
      </c>
    </row>
    <row r="114" spans="1:13" x14ac:dyDescent="0.2">
      <c r="A114" s="4">
        <v>46268</v>
      </c>
      <c r="B114" s="3" t="s">
        <v>72</v>
      </c>
      <c r="C114" s="3">
        <v>52</v>
      </c>
      <c r="D114" s="16" t="s">
        <v>126</v>
      </c>
      <c r="E114" s="17">
        <v>46268.86990740741</v>
      </c>
      <c r="F114" s="3">
        <v>50.6</v>
      </c>
      <c r="G114" s="3"/>
      <c r="H114" s="3"/>
      <c r="I114" s="18" t="str">
        <f t="shared" si="6"/>
        <v/>
      </c>
      <c r="J114" s="3">
        <v>146</v>
      </c>
      <c r="K114" s="19">
        <f t="shared" si="7"/>
        <v>2.885375494071146</v>
      </c>
      <c r="L114" s="3">
        <v>83.1</v>
      </c>
      <c r="M114" s="3">
        <v>102</v>
      </c>
    </row>
    <row r="115" spans="1:13" x14ac:dyDescent="0.2">
      <c r="A115" s="4">
        <v>46268</v>
      </c>
      <c r="B115" s="3" t="s">
        <v>72</v>
      </c>
      <c r="C115" s="3">
        <v>49</v>
      </c>
      <c r="D115" s="16" t="s">
        <v>127</v>
      </c>
      <c r="E115" s="17">
        <v>46268.908680555563</v>
      </c>
      <c r="F115" s="3">
        <v>45.9</v>
      </c>
      <c r="G115" s="3"/>
      <c r="H115" s="3"/>
      <c r="I115" s="18" t="str">
        <f t="shared" si="6"/>
        <v/>
      </c>
      <c r="J115" s="3">
        <v>449</v>
      </c>
      <c r="K115" s="19">
        <f t="shared" si="7"/>
        <v>9.7821350762527235</v>
      </c>
      <c r="L115" s="3">
        <v>141.19999999999999</v>
      </c>
      <c r="M115" s="3">
        <v>182</v>
      </c>
    </row>
    <row r="116" spans="1:13" x14ac:dyDescent="0.2">
      <c r="A116" s="4">
        <v>46269</v>
      </c>
      <c r="B116" s="3" t="s">
        <v>72</v>
      </c>
      <c r="C116" s="3">
        <v>52</v>
      </c>
      <c r="D116" s="16" t="s">
        <v>126</v>
      </c>
      <c r="E116" s="17">
        <v>46269.702048611107</v>
      </c>
      <c r="F116" s="3">
        <v>69.3</v>
      </c>
      <c r="G116" s="3"/>
      <c r="H116" s="3"/>
      <c r="I116" s="18" t="str">
        <f t="shared" si="6"/>
        <v/>
      </c>
      <c r="J116" s="3">
        <v>171</v>
      </c>
      <c r="K116" s="19">
        <f t="shared" si="7"/>
        <v>2.4675324675324677</v>
      </c>
      <c r="L116" s="3">
        <v>79.7</v>
      </c>
      <c r="M116" s="3">
        <v>108</v>
      </c>
    </row>
    <row r="117" spans="1:13" x14ac:dyDescent="0.2">
      <c r="A117" s="4">
        <v>46270</v>
      </c>
      <c r="B117" s="3" t="s">
        <v>72</v>
      </c>
      <c r="C117" s="3">
        <v>227</v>
      </c>
      <c r="D117" s="16" t="s">
        <v>130</v>
      </c>
      <c r="E117" s="17">
        <v>46270.437858796293</v>
      </c>
      <c r="F117" s="3">
        <v>65.900000000000006</v>
      </c>
      <c r="G117" s="3"/>
      <c r="H117" s="3"/>
      <c r="I117" s="18" t="str">
        <f t="shared" si="6"/>
        <v/>
      </c>
      <c r="J117" s="3">
        <v>367</v>
      </c>
      <c r="K117" s="19">
        <f t="shared" si="7"/>
        <v>5.5690440060698023</v>
      </c>
      <c r="L117" s="3">
        <v>105.4</v>
      </c>
      <c r="M117" s="3">
        <v>131</v>
      </c>
    </row>
    <row r="118" spans="1:13" x14ac:dyDescent="0.2">
      <c r="A118" s="4">
        <v>46270</v>
      </c>
      <c r="B118" s="3" t="s">
        <v>72</v>
      </c>
      <c r="C118" s="3">
        <v>191</v>
      </c>
      <c r="D118" s="16" t="s">
        <v>133</v>
      </c>
      <c r="E118" s="17">
        <v>46270.837187500001</v>
      </c>
      <c r="F118" s="3">
        <v>63.5</v>
      </c>
      <c r="G118" s="3"/>
      <c r="H118" s="3"/>
      <c r="I118" s="18" t="str">
        <f t="shared" si="6"/>
        <v/>
      </c>
      <c r="J118" s="3">
        <v>684</v>
      </c>
      <c r="K118" s="19">
        <f t="shared" si="7"/>
        <v>10.771653543307087</v>
      </c>
      <c r="L118" s="3">
        <v>149.30000000000001</v>
      </c>
      <c r="M118" s="3">
        <v>176</v>
      </c>
    </row>
    <row r="119" spans="1:13" x14ac:dyDescent="0.2">
      <c r="A119" s="4">
        <v>46271</v>
      </c>
      <c r="B119" s="3" t="s">
        <v>72</v>
      </c>
      <c r="C119" s="3">
        <v>1</v>
      </c>
      <c r="D119" s="16" t="s">
        <v>128</v>
      </c>
      <c r="E119" s="17">
        <v>46271.29824074074</v>
      </c>
      <c r="F119" s="3">
        <v>41.5</v>
      </c>
      <c r="G119" s="3">
        <v>6471</v>
      </c>
      <c r="H119" s="3">
        <v>0.38448462370576419</v>
      </c>
      <c r="I119" s="18">
        <f t="shared" si="6"/>
        <v>6.4080770617627367</v>
      </c>
      <c r="J119" s="3">
        <v>458.37411499023438</v>
      </c>
      <c r="K119" s="19">
        <f t="shared" si="7"/>
        <v>11.045159397355045</v>
      </c>
      <c r="L119" s="3">
        <v>157.80000000000001</v>
      </c>
      <c r="M119" s="3">
        <v>176</v>
      </c>
    </row>
    <row r="120" spans="1:13" x14ac:dyDescent="0.2">
      <c r="A120" s="4">
        <v>46273</v>
      </c>
      <c r="B120" s="3" t="s">
        <v>72</v>
      </c>
      <c r="C120" s="3">
        <v>1</v>
      </c>
      <c r="D120" s="16" t="s">
        <v>128</v>
      </c>
      <c r="E120" s="17">
        <v>46273.273194444453</v>
      </c>
      <c r="F120" s="3">
        <v>53.5</v>
      </c>
      <c r="G120" s="3">
        <v>10152</v>
      </c>
      <c r="H120" s="3">
        <v>0.31560283687943258</v>
      </c>
      <c r="I120" s="18">
        <f t="shared" si="6"/>
        <v>5.2600472813238763</v>
      </c>
      <c r="J120" s="3">
        <v>729.62335205078125</v>
      </c>
      <c r="K120" s="19">
        <f t="shared" si="7"/>
        <v>13.637819664500585</v>
      </c>
      <c r="L120" s="3">
        <v>173</v>
      </c>
      <c r="M120" s="3">
        <v>180</v>
      </c>
    </row>
    <row r="121" spans="1:13" x14ac:dyDescent="0.2">
      <c r="A121" s="4">
        <v>46273</v>
      </c>
      <c r="B121" s="3" t="s">
        <v>72</v>
      </c>
      <c r="C121" s="3">
        <v>52</v>
      </c>
      <c r="D121" s="16" t="s">
        <v>126</v>
      </c>
      <c r="E121" s="17">
        <v>46273.808796296304</v>
      </c>
      <c r="F121" s="3">
        <v>67.3</v>
      </c>
      <c r="G121" s="3"/>
      <c r="H121" s="3"/>
      <c r="I121" s="18" t="str">
        <f t="shared" si="6"/>
        <v/>
      </c>
      <c r="J121" s="3">
        <v>236</v>
      </c>
      <c r="K121" s="19">
        <f t="shared" si="7"/>
        <v>3.5066864784546805</v>
      </c>
      <c r="L121" s="3">
        <v>88.5</v>
      </c>
      <c r="M121" s="3">
        <v>109</v>
      </c>
    </row>
    <row r="122" spans="1:13" x14ac:dyDescent="0.2">
      <c r="A122" s="4">
        <v>46274</v>
      </c>
      <c r="B122" s="3" t="s">
        <v>72</v>
      </c>
      <c r="C122" s="3">
        <v>52</v>
      </c>
      <c r="D122" s="16" t="s">
        <v>126</v>
      </c>
      <c r="E122" s="17">
        <v>46274.879930555559</v>
      </c>
      <c r="F122" s="3">
        <v>42.5</v>
      </c>
      <c r="G122" s="3"/>
      <c r="H122" s="3"/>
      <c r="I122" s="18" t="str">
        <f t="shared" si="6"/>
        <v/>
      </c>
      <c r="J122" s="3">
        <v>91</v>
      </c>
      <c r="K122" s="19">
        <f t="shared" si="7"/>
        <v>2.1411764705882352</v>
      </c>
      <c r="L122" s="3">
        <v>77.3</v>
      </c>
      <c r="M122" s="3">
        <v>92</v>
      </c>
    </row>
    <row r="123" spans="1:13" x14ac:dyDescent="0.2">
      <c r="A123" s="4">
        <v>46275</v>
      </c>
      <c r="B123" s="3" t="s">
        <v>72</v>
      </c>
      <c r="C123" s="3">
        <v>49</v>
      </c>
      <c r="D123" s="16" t="s">
        <v>127</v>
      </c>
      <c r="E123" s="17">
        <v>46275.644687499997</v>
      </c>
      <c r="F123" s="3">
        <v>37.5</v>
      </c>
      <c r="G123" s="3"/>
      <c r="H123" s="3"/>
      <c r="I123" s="18" t="str">
        <f t="shared" si="6"/>
        <v/>
      </c>
      <c r="J123" s="3">
        <v>342</v>
      </c>
      <c r="K123" s="19">
        <f t="shared" si="7"/>
        <v>9.1199999999999992</v>
      </c>
      <c r="L123" s="3">
        <v>135.4</v>
      </c>
      <c r="M123" s="3">
        <v>161</v>
      </c>
    </row>
    <row r="124" spans="1:13" x14ac:dyDescent="0.2">
      <c r="A124" s="4">
        <v>46275</v>
      </c>
      <c r="B124" s="3" t="s">
        <v>72</v>
      </c>
      <c r="C124" s="3">
        <v>227</v>
      </c>
      <c r="D124" s="16" t="s">
        <v>130</v>
      </c>
      <c r="E124" s="17">
        <v>46275.675694444442</v>
      </c>
      <c r="F124" s="3">
        <v>51.3</v>
      </c>
      <c r="G124" s="3"/>
      <c r="H124" s="3"/>
      <c r="I124" s="18" t="str">
        <f t="shared" si="6"/>
        <v/>
      </c>
      <c r="J124" s="3">
        <v>293</v>
      </c>
      <c r="K124" s="19">
        <f t="shared" si="7"/>
        <v>5.7115009746588701</v>
      </c>
      <c r="L124" s="3">
        <v>106.6</v>
      </c>
      <c r="M124" s="3">
        <v>122</v>
      </c>
    </row>
    <row r="125" spans="1:13" x14ac:dyDescent="0.2">
      <c r="A125" s="4">
        <v>46275</v>
      </c>
      <c r="B125" s="3" t="s">
        <v>72</v>
      </c>
      <c r="C125" s="3">
        <v>191</v>
      </c>
      <c r="D125" s="16" t="s">
        <v>133</v>
      </c>
      <c r="E125" s="17">
        <v>46275.798414351862</v>
      </c>
      <c r="F125" s="3">
        <v>58.8</v>
      </c>
      <c r="G125" s="3"/>
      <c r="H125" s="3"/>
      <c r="I125" s="18" t="str">
        <f t="shared" si="6"/>
        <v/>
      </c>
      <c r="J125" s="3">
        <v>597</v>
      </c>
      <c r="K125" s="19">
        <f t="shared" si="7"/>
        <v>10.153061224489797</v>
      </c>
      <c r="L125" s="3">
        <v>143.4</v>
      </c>
      <c r="M125" s="3">
        <v>170</v>
      </c>
    </row>
    <row r="126" spans="1:13" x14ac:dyDescent="0.2">
      <c r="A126" s="4">
        <v>46277</v>
      </c>
      <c r="B126" s="3" t="s">
        <v>72</v>
      </c>
      <c r="C126" s="3">
        <v>85</v>
      </c>
      <c r="D126" s="16" t="s">
        <v>131</v>
      </c>
      <c r="E126" s="17">
        <v>46277.386805555558</v>
      </c>
      <c r="F126" s="3">
        <v>95.1</v>
      </c>
      <c r="G126" s="3"/>
      <c r="H126" s="3"/>
      <c r="I126" s="18" t="str">
        <f t="shared" si="6"/>
        <v/>
      </c>
      <c r="J126" s="3">
        <v>799</v>
      </c>
      <c r="K126" s="19">
        <f t="shared" si="7"/>
        <v>8.4016824395373302</v>
      </c>
      <c r="L126" s="3">
        <v>129.19999999999999</v>
      </c>
      <c r="M126" s="3">
        <v>179</v>
      </c>
    </row>
    <row r="127" spans="1:13" x14ac:dyDescent="0.2">
      <c r="A127" s="4">
        <v>46277</v>
      </c>
      <c r="B127" s="3" t="s">
        <v>72</v>
      </c>
      <c r="C127" s="3">
        <v>52</v>
      </c>
      <c r="D127" s="16" t="s">
        <v>126</v>
      </c>
      <c r="E127" s="17">
        <v>46277.789282407408</v>
      </c>
      <c r="F127" s="3">
        <v>49.6</v>
      </c>
      <c r="G127" s="3"/>
      <c r="H127" s="3"/>
      <c r="I127" s="18" t="str">
        <f t="shared" si="6"/>
        <v/>
      </c>
      <c r="J127" s="3">
        <v>169</v>
      </c>
      <c r="K127" s="19">
        <f t="shared" si="7"/>
        <v>3.407258064516129</v>
      </c>
      <c r="L127" s="3">
        <v>87.4</v>
      </c>
      <c r="M127" s="3">
        <v>102</v>
      </c>
    </row>
    <row r="128" spans="1:13" x14ac:dyDescent="0.2">
      <c r="A128" s="4">
        <v>46278</v>
      </c>
      <c r="B128" s="3" t="s">
        <v>72</v>
      </c>
      <c r="C128" s="3">
        <v>49</v>
      </c>
      <c r="D128" s="16" t="s">
        <v>127</v>
      </c>
      <c r="E128" s="17">
        <v>46278.34883101852</v>
      </c>
      <c r="F128" s="3">
        <v>106.6</v>
      </c>
      <c r="G128" s="3"/>
      <c r="H128" s="3"/>
      <c r="I128" s="18" t="str">
        <f t="shared" si="6"/>
        <v/>
      </c>
      <c r="J128" s="3">
        <v>1081</v>
      </c>
      <c r="K128" s="19">
        <f t="shared" si="7"/>
        <v>10.140712945590995</v>
      </c>
      <c r="L128" s="3">
        <v>143.69999999999999</v>
      </c>
      <c r="M128" s="3">
        <v>180</v>
      </c>
    </row>
    <row r="129" spans="1:13" x14ac:dyDescent="0.2">
      <c r="A129" s="4">
        <v>46282</v>
      </c>
      <c r="B129" s="3" t="s">
        <v>72</v>
      </c>
      <c r="C129" s="3">
        <v>52</v>
      </c>
      <c r="D129" s="16" t="s">
        <v>126</v>
      </c>
      <c r="E129" s="17">
        <v>46282.762199074074</v>
      </c>
      <c r="F129" s="3">
        <v>33.5</v>
      </c>
      <c r="G129" s="3"/>
      <c r="H129" s="3"/>
      <c r="I129" s="18" t="str">
        <f t="shared" si="6"/>
        <v/>
      </c>
      <c r="J129" s="3">
        <v>95</v>
      </c>
      <c r="K129" s="19">
        <f t="shared" si="7"/>
        <v>2.8358208955223883</v>
      </c>
      <c r="L129" s="3">
        <v>83.2</v>
      </c>
      <c r="M129" s="3">
        <v>103</v>
      </c>
    </row>
    <row r="130" spans="1:13" x14ac:dyDescent="0.2">
      <c r="A130" s="4">
        <v>46283</v>
      </c>
      <c r="B130" s="3" t="s">
        <v>72</v>
      </c>
      <c r="C130" s="3">
        <v>52</v>
      </c>
      <c r="D130" s="16" t="s">
        <v>126</v>
      </c>
      <c r="E130" s="17">
        <v>46283.779606481483</v>
      </c>
      <c r="F130" s="3">
        <v>34.9</v>
      </c>
      <c r="G130" s="3"/>
      <c r="H130" s="3"/>
      <c r="I130" s="18" t="str">
        <f t="shared" ref="I130:I161" si="8">IF(AND(G130&gt;=500,H130&gt;0),H130*1000/60,"")</f>
        <v/>
      </c>
      <c r="J130" s="3">
        <v>97</v>
      </c>
      <c r="K130" s="19">
        <f t="shared" ref="K130:K161" si="9">IF(F130&gt;0,J130/F130,"")</f>
        <v>2.7793696275071635</v>
      </c>
      <c r="L130" s="3">
        <v>82</v>
      </c>
      <c r="M130" s="3">
        <v>99</v>
      </c>
    </row>
    <row r="131" spans="1:13" x14ac:dyDescent="0.2">
      <c r="A131" s="4">
        <v>46283</v>
      </c>
      <c r="B131" s="3" t="s">
        <v>72</v>
      </c>
      <c r="C131" s="3">
        <v>49</v>
      </c>
      <c r="D131" s="16" t="s">
        <v>127</v>
      </c>
      <c r="E131" s="17">
        <v>46283.815891203703</v>
      </c>
      <c r="F131" s="3">
        <v>39.700000000000003</v>
      </c>
      <c r="G131" s="3"/>
      <c r="H131" s="3"/>
      <c r="I131" s="18" t="str">
        <f t="shared" si="8"/>
        <v/>
      </c>
      <c r="J131" s="3">
        <v>392</v>
      </c>
      <c r="K131" s="19">
        <f t="shared" si="9"/>
        <v>9.8740554156171285</v>
      </c>
      <c r="L131" s="3">
        <v>140.9</v>
      </c>
      <c r="M131" s="3">
        <v>168</v>
      </c>
    </row>
    <row r="132" spans="1:13" x14ac:dyDescent="0.2">
      <c r="A132" s="4">
        <v>46285</v>
      </c>
      <c r="B132" s="3" t="s">
        <v>72</v>
      </c>
      <c r="C132" s="3">
        <v>85</v>
      </c>
      <c r="D132" s="16" t="s">
        <v>131</v>
      </c>
      <c r="E132" s="17">
        <v>46285.810034722221</v>
      </c>
      <c r="F132" s="3">
        <v>88.2</v>
      </c>
      <c r="G132" s="3"/>
      <c r="H132" s="3"/>
      <c r="I132" s="18" t="str">
        <f t="shared" si="8"/>
        <v/>
      </c>
      <c r="J132" s="3">
        <v>597</v>
      </c>
      <c r="K132" s="19">
        <f t="shared" si="9"/>
        <v>6.7687074829931975</v>
      </c>
      <c r="L132" s="3">
        <v>115.9</v>
      </c>
      <c r="M132" s="3">
        <v>161</v>
      </c>
    </row>
    <row r="133" spans="1:13" x14ac:dyDescent="0.2">
      <c r="A133" s="4">
        <v>46286</v>
      </c>
      <c r="B133" s="3" t="s">
        <v>72</v>
      </c>
      <c r="C133" s="3">
        <v>1</v>
      </c>
      <c r="D133" s="16" t="s">
        <v>128</v>
      </c>
      <c r="E133" s="17">
        <v>46286.346689814818</v>
      </c>
      <c r="F133" s="3">
        <v>21.4</v>
      </c>
      <c r="G133" s="3">
        <v>4196</v>
      </c>
      <c r="H133" s="3">
        <v>0.30552907530981888</v>
      </c>
      <c r="I133" s="18">
        <f t="shared" si="8"/>
        <v>5.0921512551636479</v>
      </c>
      <c r="J133" s="3">
        <v>261.10342407226562</v>
      </c>
      <c r="K133" s="19">
        <f t="shared" si="9"/>
        <v>12.201094582816152</v>
      </c>
      <c r="L133" s="3">
        <v>165.2</v>
      </c>
      <c r="M133" s="3">
        <v>184</v>
      </c>
    </row>
    <row r="134" spans="1:13" x14ac:dyDescent="0.2">
      <c r="A134" s="4">
        <v>46286</v>
      </c>
      <c r="B134" s="3" t="s">
        <v>72</v>
      </c>
      <c r="C134" s="3">
        <v>52</v>
      </c>
      <c r="D134" s="16" t="s">
        <v>126</v>
      </c>
      <c r="E134" s="17">
        <v>46286.897962962961</v>
      </c>
      <c r="F134" s="3">
        <v>47</v>
      </c>
      <c r="G134" s="3"/>
      <c r="H134" s="3"/>
      <c r="I134" s="18" t="str">
        <f t="shared" si="8"/>
        <v/>
      </c>
      <c r="J134" s="3">
        <v>136</v>
      </c>
      <c r="K134" s="19">
        <f t="shared" si="9"/>
        <v>2.8936170212765959</v>
      </c>
      <c r="L134" s="3">
        <v>83.7</v>
      </c>
      <c r="M134" s="3">
        <v>116</v>
      </c>
    </row>
    <row r="135" spans="1:13" x14ac:dyDescent="0.2">
      <c r="A135" s="4">
        <v>46288</v>
      </c>
      <c r="B135" s="3" t="s">
        <v>72</v>
      </c>
      <c r="C135" s="3">
        <v>52</v>
      </c>
      <c r="D135" s="16" t="s">
        <v>126</v>
      </c>
      <c r="E135" s="17">
        <v>46288.766319444447</v>
      </c>
      <c r="F135" s="3">
        <v>58.2</v>
      </c>
      <c r="G135" s="3"/>
      <c r="H135" s="3"/>
      <c r="I135" s="18" t="str">
        <f t="shared" si="8"/>
        <v/>
      </c>
      <c r="J135" s="3">
        <v>157</v>
      </c>
      <c r="K135" s="19">
        <f t="shared" si="9"/>
        <v>2.6975945017182128</v>
      </c>
      <c r="L135" s="3">
        <v>81.8</v>
      </c>
      <c r="M135" s="3">
        <v>103</v>
      </c>
    </row>
    <row r="136" spans="1:13" x14ac:dyDescent="0.2">
      <c r="A136" s="4">
        <v>46289</v>
      </c>
      <c r="B136" s="3" t="s">
        <v>72</v>
      </c>
      <c r="C136" s="3">
        <v>1</v>
      </c>
      <c r="D136" s="16" t="s">
        <v>128</v>
      </c>
      <c r="E136" s="17">
        <v>46289.274884259263</v>
      </c>
      <c r="F136" s="3">
        <v>19.600000000000001</v>
      </c>
      <c r="G136" s="3">
        <v>3804</v>
      </c>
      <c r="H136" s="3">
        <v>0.30914826498422721</v>
      </c>
      <c r="I136" s="18">
        <f t="shared" si="8"/>
        <v>5.152471083070453</v>
      </c>
      <c r="J136" s="3">
        <v>254.1349182128906</v>
      </c>
      <c r="K136" s="19">
        <f t="shared" si="9"/>
        <v>12.966067255759723</v>
      </c>
      <c r="L136" s="3">
        <v>169.6</v>
      </c>
      <c r="M136" s="3">
        <v>183</v>
      </c>
    </row>
    <row r="137" spans="1:13" x14ac:dyDescent="0.2">
      <c r="A137" s="4">
        <v>46289</v>
      </c>
      <c r="B137" s="3" t="s">
        <v>72</v>
      </c>
      <c r="C137" s="3">
        <v>191</v>
      </c>
      <c r="D137" s="16" t="s">
        <v>133</v>
      </c>
      <c r="E137" s="17">
        <v>46289.835590277777</v>
      </c>
      <c r="F137" s="3">
        <v>58.4</v>
      </c>
      <c r="G137" s="3"/>
      <c r="H137" s="3"/>
      <c r="I137" s="18" t="str">
        <f t="shared" si="8"/>
        <v/>
      </c>
      <c r="J137" s="3">
        <v>647</v>
      </c>
      <c r="K137" s="19">
        <f t="shared" si="9"/>
        <v>11.078767123287671</v>
      </c>
      <c r="L137" s="3">
        <v>151.4</v>
      </c>
      <c r="M137" s="3">
        <v>170</v>
      </c>
    </row>
    <row r="138" spans="1:13" x14ac:dyDescent="0.2">
      <c r="A138" s="4">
        <v>46290</v>
      </c>
      <c r="B138" s="3" t="s">
        <v>72</v>
      </c>
      <c r="C138" s="3">
        <v>52</v>
      </c>
      <c r="D138" s="16" t="s">
        <v>126</v>
      </c>
      <c r="E138" s="17">
        <v>46290.444618055553</v>
      </c>
      <c r="F138" s="3">
        <v>49.7</v>
      </c>
      <c r="G138" s="3"/>
      <c r="H138" s="3"/>
      <c r="I138" s="18" t="str">
        <f t="shared" si="8"/>
        <v/>
      </c>
      <c r="J138" s="3">
        <v>178</v>
      </c>
      <c r="K138" s="19">
        <f t="shared" si="9"/>
        <v>3.5814889336016096</v>
      </c>
      <c r="L138" s="3">
        <v>89</v>
      </c>
      <c r="M138" s="3">
        <v>114</v>
      </c>
    </row>
    <row r="139" spans="1:13" x14ac:dyDescent="0.2">
      <c r="A139" s="4">
        <v>46292</v>
      </c>
      <c r="B139" s="3" t="s">
        <v>72</v>
      </c>
      <c r="C139" s="3">
        <v>1</v>
      </c>
      <c r="D139" s="16" t="s">
        <v>128</v>
      </c>
      <c r="E139" s="17">
        <v>46292.33079861111</v>
      </c>
      <c r="F139" s="3">
        <v>115.9</v>
      </c>
      <c r="G139" s="3">
        <v>15049</v>
      </c>
      <c r="H139" s="3">
        <v>0.46169180676456911</v>
      </c>
      <c r="I139" s="18">
        <f t="shared" si="8"/>
        <v>7.6948634460761518</v>
      </c>
      <c r="J139" s="3">
        <v>1315.033935546875</v>
      </c>
      <c r="K139" s="19">
        <f t="shared" si="9"/>
        <v>11.346280720853105</v>
      </c>
      <c r="L139" s="3">
        <v>153.30000000000001</v>
      </c>
      <c r="M139" s="3">
        <v>164</v>
      </c>
    </row>
    <row r="140" spans="1:13" x14ac:dyDescent="0.2">
      <c r="A140" s="4">
        <v>46293</v>
      </c>
      <c r="B140" s="3" t="s">
        <v>72</v>
      </c>
      <c r="C140" s="3">
        <v>85</v>
      </c>
      <c r="D140" s="16" t="s">
        <v>131</v>
      </c>
      <c r="E140" s="17">
        <v>46293.810729166667</v>
      </c>
      <c r="F140" s="3">
        <v>107.3</v>
      </c>
      <c r="G140" s="3"/>
      <c r="H140" s="3"/>
      <c r="I140" s="18" t="str">
        <f t="shared" si="8"/>
        <v/>
      </c>
      <c r="J140" s="3">
        <v>887</v>
      </c>
      <c r="K140" s="19">
        <f t="shared" si="9"/>
        <v>8.266542404473439</v>
      </c>
      <c r="L140" s="3">
        <v>127.9</v>
      </c>
      <c r="M140" s="3">
        <v>185</v>
      </c>
    </row>
  </sheetData>
  <autoFilter ref="A1:M140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1" customWidth="1"/>
    <col min="6" max="6" width="13" customWidth="1"/>
    <col min="7" max="7" width="34" customWidth="1"/>
  </cols>
  <sheetData>
    <row r="1" spans="1:7" ht="32" customHeight="1" x14ac:dyDescent="0.2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</row>
    <row r="2" spans="1:7" x14ac:dyDescent="0.2">
      <c r="A2" s="3" t="s">
        <v>141</v>
      </c>
      <c r="B2" s="3">
        <v>91</v>
      </c>
      <c r="C2" s="3">
        <v>52</v>
      </c>
      <c r="D2" s="3">
        <v>125</v>
      </c>
      <c r="E2" s="3">
        <v>82</v>
      </c>
      <c r="F2" s="4">
        <v>46173</v>
      </c>
      <c r="G2" s="16" t="s">
        <v>142</v>
      </c>
    </row>
    <row r="3" spans="1:7" x14ac:dyDescent="0.2">
      <c r="A3" s="3" t="s">
        <v>143</v>
      </c>
      <c r="B3" s="3">
        <v>83</v>
      </c>
      <c r="C3" s="3">
        <v>55</v>
      </c>
      <c r="D3" s="3">
        <v>122</v>
      </c>
      <c r="E3" s="3">
        <v>70</v>
      </c>
      <c r="F3" s="4">
        <v>46203</v>
      </c>
      <c r="G3" s="16" t="s">
        <v>144</v>
      </c>
    </row>
    <row r="4" spans="1:7" x14ac:dyDescent="0.2">
      <c r="A4" s="3" t="s">
        <v>145</v>
      </c>
      <c r="B4" s="3">
        <v>80</v>
      </c>
      <c r="C4" s="3">
        <v>64</v>
      </c>
      <c r="D4" s="3">
        <v>94</v>
      </c>
      <c r="E4" s="3">
        <v>94</v>
      </c>
      <c r="F4" s="4">
        <v>46234</v>
      </c>
      <c r="G4" s="16"/>
    </row>
    <row r="5" spans="1:7" x14ac:dyDescent="0.2">
      <c r="A5" s="3" t="s">
        <v>146</v>
      </c>
      <c r="B5" s="3">
        <v>81</v>
      </c>
      <c r="C5" s="3">
        <v>58</v>
      </c>
      <c r="D5" s="3">
        <v>117</v>
      </c>
      <c r="E5" s="3">
        <v>95</v>
      </c>
      <c r="F5" s="4">
        <v>46265</v>
      </c>
      <c r="G5" s="16"/>
    </row>
    <row r="6" spans="1:7" x14ac:dyDescent="0.2">
      <c r="A6" s="3" t="s">
        <v>147</v>
      </c>
      <c r="B6" s="3">
        <v>83</v>
      </c>
      <c r="C6" s="3">
        <v>63</v>
      </c>
      <c r="D6" s="3">
        <v>108</v>
      </c>
      <c r="E6" s="3">
        <v>94</v>
      </c>
      <c r="F6" s="4">
        <v>46295</v>
      </c>
      <c r="G6" s="16"/>
    </row>
    <row r="7" spans="1:7" x14ac:dyDescent="0.2">
      <c r="A7" s="3" t="s">
        <v>148</v>
      </c>
      <c r="B7" s="3">
        <v>82</v>
      </c>
      <c r="C7" s="3">
        <v>55</v>
      </c>
      <c r="D7" s="3">
        <v>112</v>
      </c>
      <c r="E7" s="3">
        <v>82</v>
      </c>
      <c r="F7" s="4">
        <v>46311</v>
      </c>
      <c r="G7" s="16" t="s">
        <v>149</v>
      </c>
    </row>
    <row r="9" spans="1:7" x14ac:dyDescent="0.2">
      <c r="A9" s="20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  <col min="2" max="3" width="22" customWidth="1"/>
    <col min="4" max="4" width="16" customWidth="1"/>
    <col min="5" max="5" width="11" customWidth="1"/>
  </cols>
  <sheetData>
    <row r="1" spans="1:5" ht="32" customHeight="1" x14ac:dyDescent="0.2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 x14ac:dyDescent="0.2">
      <c r="A2" s="21" t="s">
        <v>156</v>
      </c>
      <c r="B2" s="22">
        <f>COUNTIF('Daily Summary'!$B$2:$B$141,"P1")</f>
        <v>70</v>
      </c>
      <c r="C2" s="22">
        <f>COUNTIF('Daily Summary'!$B$2:$B$141,"P2")</f>
        <v>70</v>
      </c>
      <c r="D2" s="23">
        <f t="shared" ref="D2:D24" si="0">C2-B2</f>
        <v>0</v>
      </c>
      <c r="E2" s="24">
        <f t="shared" ref="E2:E24" si="1">IF(B2=0,"",(C2-B2)/B2)</f>
        <v>0</v>
      </c>
    </row>
    <row r="3" spans="1:5" x14ac:dyDescent="0.2">
      <c r="A3" s="21" t="s">
        <v>157</v>
      </c>
      <c r="B3" s="25">
        <f>AVERAGEIFS('Daily Summary'!$D$2:$D$141,'Daily Summary'!$B$2:$B$141,"P1")</f>
        <v>7893.2142857142853</v>
      </c>
      <c r="C3" s="25">
        <f>AVERAGEIFS('Daily Summary'!$D$2:$D$141,'Daily Summary'!$B$2:$B$141,"P2")</f>
        <v>7822.7714285714283</v>
      </c>
      <c r="D3" s="23">
        <f t="shared" si="0"/>
        <v>-70.442857142857065</v>
      </c>
      <c r="E3" s="24">
        <f t="shared" si="1"/>
        <v>-8.9244830550653728E-3</v>
      </c>
    </row>
    <row r="4" spans="1:5" x14ac:dyDescent="0.2">
      <c r="A4" s="21" t="s">
        <v>158</v>
      </c>
      <c r="B4" s="18">
        <f>AVERAGEIFS('Daily Summary'!$E$2:$E$141,'Daily Summary'!$B$2:$B$141,"P1")</f>
        <v>5.7730142857142868</v>
      </c>
      <c r="C4" s="18">
        <f>AVERAGEIFS('Daily Summary'!$E$2:$E$141,'Daily Summary'!$B$2:$B$141,"P2")</f>
        <v>5.6913714285714292</v>
      </c>
      <c r="D4" s="23">
        <f t="shared" si="0"/>
        <v>-8.1642857142857572E-2</v>
      </c>
      <c r="E4" s="24">
        <f t="shared" si="1"/>
        <v>-1.4142154012140301E-2</v>
      </c>
    </row>
    <row r="5" spans="1:5" x14ac:dyDescent="0.2">
      <c r="A5" s="21" t="s">
        <v>159</v>
      </c>
      <c r="B5" s="22">
        <f>AVERAGEIFS('Daily Summary'!$H$2:$H$141,'Daily Summary'!$B$2:$B$141,"P1")</f>
        <v>148.87142857142857</v>
      </c>
      <c r="C5" s="22">
        <f>AVERAGEIFS('Daily Summary'!$H$2:$H$141,'Daily Summary'!$B$2:$B$141,"P2")</f>
        <v>157.74285714285713</v>
      </c>
      <c r="D5" s="23">
        <f t="shared" si="0"/>
        <v>8.8714285714285666</v>
      </c>
      <c r="E5" s="24">
        <f t="shared" si="1"/>
        <v>5.9591210056616419E-2</v>
      </c>
    </row>
    <row r="6" spans="1:5" x14ac:dyDescent="0.2">
      <c r="A6" s="21" t="s">
        <v>160</v>
      </c>
      <c r="B6" s="25">
        <f>AVERAGEIFS('Daily Summary'!$G$2:$G$141,'Daily Summary'!$B$2:$B$141,"P1")</f>
        <v>627.52857142857147</v>
      </c>
      <c r="C6" s="25">
        <f>AVERAGEIFS('Daily Summary'!$G$2:$G$141,'Daily Summary'!$B$2:$B$141,"P2")</f>
        <v>646.67142857142858</v>
      </c>
      <c r="D6" s="23">
        <f t="shared" si="0"/>
        <v>19.14285714285711</v>
      </c>
      <c r="E6" s="24">
        <f t="shared" si="1"/>
        <v>3.0505156282013286E-2</v>
      </c>
    </row>
    <row r="7" spans="1:5" x14ac:dyDescent="0.2">
      <c r="A7" s="21" t="s">
        <v>161</v>
      </c>
      <c r="B7" s="19">
        <f>AVERAGEIFS('Daily Summary'!$I$2:$I$141,'Daily Summary'!$B$2:$B$141,"P1")</f>
        <v>42.214285714285715</v>
      </c>
      <c r="C7" s="19">
        <f>AVERAGEIFS('Daily Summary'!$I$2:$I$141,'Daily Summary'!$B$2:$B$141,"P2")</f>
        <v>41.4</v>
      </c>
      <c r="D7" s="23">
        <f t="shared" si="0"/>
        <v>-0.81428571428571672</v>
      </c>
      <c r="E7" s="24">
        <f t="shared" si="1"/>
        <v>-1.92893401015229E-2</v>
      </c>
    </row>
    <row r="8" spans="1:5" x14ac:dyDescent="0.2">
      <c r="A8" s="21" t="s">
        <v>162</v>
      </c>
      <c r="B8" s="19">
        <f>AVERAGEIFS('Daily Summary'!$L$2:$L$141,'Daily Summary'!$B$2:$B$141,"P1")</f>
        <v>48.606605627345509</v>
      </c>
      <c r="C8" s="19">
        <f>AVERAGEIFS('Daily Summary'!$L$2:$L$141,'Daily Summary'!$B$2:$B$141,"P2")</f>
        <v>47.369827845080806</v>
      </c>
      <c r="D8" s="23">
        <f t="shared" si="0"/>
        <v>-1.2367777822647028</v>
      </c>
      <c r="E8" s="24">
        <f t="shared" si="1"/>
        <v>-2.5444644124026347E-2</v>
      </c>
    </row>
    <row r="9" spans="1:5" x14ac:dyDescent="0.2">
      <c r="A9" s="21" t="s">
        <v>163</v>
      </c>
      <c r="B9" s="19">
        <f>AVERAGEIFS('Daily Summary'!$N$2:$N$141,'Daily Summary'!$B$2:$B$141,"P1")</f>
        <v>84.428571428571431</v>
      </c>
      <c r="C9" s="19">
        <f>AVERAGEIFS('Daily Summary'!$N$2:$N$141,'Daily Summary'!$B$2:$B$141,"P2")</f>
        <v>81.642857142857139</v>
      </c>
      <c r="D9" s="23">
        <f t="shared" si="0"/>
        <v>-2.7857142857142918</v>
      </c>
      <c r="E9" s="24">
        <f t="shared" si="1"/>
        <v>-3.2994923857868091E-2</v>
      </c>
    </row>
    <row r="10" spans="1:5" x14ac:dyDescent="0.2">
      <c r="A10" s="21" t="s">
        <v>164</v>
      </c>
      <c r="B10" s="19">
        <f>AVERAGEIFS('Daily Summary'!$J$2:$J$141,'Daily Summary'!$B$2:$B$141,"P1")</f>
        <v>65.040907186359206</v>
      </c>
      <c r="C10" s="19">
        <f>AVERAGEIFS('Daily Summary'!$J$2:$J$141,'Daily Summary'!$B$2:$B$141,"P2")</f>
        <v>62.101589378685262</v>
      </c>
      <c r="D10" s="23">
        <f t="shared" si="0"/>
        <v>-2.9393178076739446</v>
      </c>
      <c r="E10" s="24">
        <f t="shared" si="1"/>
        <v>-4.5191832876070294E-2</v>
      </c>
    </row>
    <row r="11" spans="1:5" x14ac:dyDescent="0.2">
      <c r="A11" s="21" t="s">
        <v>165</v>
      </c>
      <c r="B11" s="19">
        <f>AVERAGEIFS('Daily Summary'!$M$2:$M$141,'Daily Summary'!$B$2:$B$141,"P1")</f>
        <v>19.171428571428571</v>
      </c>
      <c r="C11" s="19">
        <f>AVERAGEIFS('Daily Summary'!$M$2:$M$141,'Daily Summary'!$B$2:$B$141,"P2")</f>
        <v>23.957142857142856</v>
      </c>
      <c r="D11" s="23">
        <f t="shared" si="0"/>
        <v>4.7857142857142847</v>
      </c>
      <c r="E11" s="24">
        <f t="shared" si="1"/>
        <v>0.24962742175856925</v>
      </c>
    </row>
    <row r="12" spans="1:5" x14ac:dyDescent="0.2">
      <c r="A12" s="21" t="s">
        <v>166</v>
      </c>
      <c r="B12" s="22">
        <f>COUNTIFS('Daily Summary'!$B$2:$B$141,"P1",'Daily Summary'!$P$2:$P$141,"&gt;0")</f>
        <v>50</v>
      </c>
      <c r="C12" s="22">
        <f>COUNTIFS('Daily Summary'!$B$2:$B$141,"P2",'Daily Summary'!$P$2:$P$141,"&gt;0")</f>
        <v>46</v>
      </c>
      <c r="D12" s="23">
        <f t="shared" si="0"/>
        <v>-4</v>
      </c>
      <c r="E12" s="24">
        <f t="shared" si="1"/>
        <v>-0.08</v>
      </c>
    </row>
    <row r="13" spans="1:5" x14ac:dyDescent="0.2">
      <c r="A13" s="21" t="s">
        <v>167</v>
      </c>
      <c r="B13" s="22">
        <f>SUMIFS('Daily Summary'!$P$2:$P$141,'Daily Summary'!$B$2:$B$141,"P1")</f>
        <v>66</v>
      </c>
      <c r="C13" s="22">
        <f>SUMIFS('Daily Summary'!$P$2:$P$141,'Daily Summary'!$B$2:$B$141,"P2")</f>
        <v>73</v>
      </c>
      <c r="D13" s="23">
        <f t="shared" si="0"/>
        <v>7</v>
      </c>
      <c r="E13" s="24">
        <f t="shared" si="1"/>
        <v>0.10606060606060606</v>
      </c>
    </row>
    <row r="14" spans="1:5" x14ac:dyDescent="0.2">
      <c r="A14" s="21" t="s">
        <v>168</v>
      </c>
      <c r="B14" s="22">
        <f>AVERAGEIFS('Daily Summary'!$Q$2:$Q$141,'Daily Summary'!$B$2:$B$141,"P1")</f>
        <v>57.081428571428567</v>
      </c>
      <c r="C14" s="22">
        <f>AVERAGEIFS('Daily Summary'!$Q$2:$Q$141,'Daily Summary'!$B$2:$B$141,"P2")</f>
        <v>56.529523809523816</v>
      </c>
      <c r="D14" s="23">
        <f t="shared" si="0"/>
        <v>-0.55190476190475124</v>
      </c>
      <c r="E14" s="24">
        <f t="shared" si="1"/>
        <v>-9.6687272150893684E-3</v>
      </c>
    </row>
    <row r="15" spans="1:5" x14ac:dyDescent="0.2">
      <c r="A15" s="21" t="s">
        <v>169</v>
      </c>
      <c r="B15" s="25">
        <f>AVERAGEIFS('Daily Summary'!$R$2:$R$141,'Daily Summary'!$B$2:$B$141,"P1")</f>
        <v>396.30926847457886</v>
      </c>
      <c r="C15" s="25">
        <f>AVERAGEIFS('Daily Summary'!$R$2:$R$141,'Daily Summary'!$B$2:$B$141,"P2")</f>
        <v>430.39989369256153</v>
      </c>
      <c r="D15" s="23">
        <f t="shared" si="0"/>
        <v>34.090625217982677</v>
      </c>
      <c r="E15" s="24">
        <f t="shared" si="1"/>
        <v>8.6020257232942834E-2</v>
      </c>
    </row>
    <row r="16" spans="1:5" x14ac:dyDescent="0.2">
      <c r="A16" s="21" t="s">
        <v>170</v>
      </c>
      <c r="B16" s="18">
        <f>AVERAGEIFS('Daily Summary'!$S$2:$S$141,'Daily Summary'!$B$2:$B$141,"P1")/60</f>
        <v>6.5466666666666669</v>
      </c>
      <c r="C16" s="18">
        <f>AVERAGEIFS('Daily Summary'!$S$2:$S$141,'Daily Summary'!$B$2:$B$141,"P2")/60</f>
        <v>6.0423809523809524</v>
      </c>
      <c r="D16" s="23">
        <f t="shared" si="0"/>
        <v>-0.50428571428571445</v>
      </c>
      <c r="E16" s="24">
        <f t="shared" si="1"/>
        <v>-7.7029386092522578E-2</v>
      </c>
    </row>
    <row r="17" spans="1:5" x14ac:dyDescent="0.2">
      <c r="A17" s="21" t="s">
        <v>171</v>
      </c>
      <c r="B17" s="22">
        <f>COUNTIFS('Daily Summary'!$B$2:$B$141,"P1",'Daily Summary'!$S$2:$S$141,"&lt;360")</f>
        <v>23</v>
      </c>
      <c r="C17" s="22">
        <f>COUNTIFS('Daily Summary'!$B$2:$B$141,"P2",'Daily Summary'!$S$2:$S$141,"&lt;360")</f>
        <v>36</v>
      </c>
      <c r="D17" s="23">
        <f t="shared" si="0"/>
        <v>13</v>
      </c>
      <c r="E17" s="24">
        <f t="shared" si="1"/>
        <v>0.56521739130434778</v>
      </c>
    </row>
    <row r="18" spans="1:5" x14ac:dyDescent="0.2">
      <c r="A18" s="21" t="s">
        <v>172</v>
      </c>
      <c r="B18" s="22">
        <f>AVERAGEIFS('Daily Summary'!$T$2:$T$141,'Daily Summary'!$B$2:$B$141,"P1")</f>
        <v>68.085714285714289</v>
      </c>
      <c r="C18" s="22">
        <f>AVERAGEIFS('Daily Summary'!$T$2:$T$141,'Daily Summary'!$B$2:$B$141,"P2")</f>
        <v>63.842857142857142</v>
      </c>
      <c r="D18" s="23">
        <f t="shared" si="0"/>
        <v>-4.2428571428571473</v>
      </c>
      <c r="E18" s="24">
        <f t="shared" si="1"/>
        <v>-6.2316407889215338E-2</v>
      </c>
    </row>
    <row r="19" spans="1:5" x14ac:dyDescent="0.2">
      <c r="A19" s="21" t="s">
        <v>173</v>
      </c>
      <c r="B19" s="22">
        <f>AVERAGEIFS('Daily Summary'!$V$2:$V$141,'Daily Summary'!$B$2:$B$141,"P1")</f>
        <v>93.428571428571431</v>
      </c>
      <c r="C19" s="22">
        <f>AVERAGEIFS('Daily Summary'!$V$2:$V$141,'Daily Summary'!$B$2:$B$141,"P2")</f>
        <v>81.414285714285711</v>
      </c>
      <c r="D19" s="23">
        <f t="shared" si="0"/>
        <v>-12.01428571428572</v>
      </c>
      <c r="E19" s="24">
        <f t="shared" si="1"/>
        <v>-0.12859327217125388</v>
      </c>
    </row>
    <row r="20" spans="1:5" x14ac:dyDescent="0.2">
      <c r="A20" s="21" t="s">
        <v>174</v>
      </c>
      <c r="B20" s="26">
        <f>SUMIFS('Daily Summary'!$T$2:$T$141,'Daily Summary'!$B$2:$B$141,"P1")/SUMIFS('Daily Summary'!$S$2:$S$141,'Daily Summary'!$B$2:$B$141,"P1")</f>
        <v>0.17333430317137039</v>
      </c>
      <c r="C20" s="26">
        <f>SUMIFS('Daily Summary'!$T$2:$T$141,'Daily Summary'!$B$2:$B$141,"P2")/SUMIFS('Daily Summary'!$S$2:$S$141,'Daily Summary'!$B$2:$B$141,"P2")</f>
        <v>0.17609740720308928</v>
      </c>
      <c r="D20" s="26">
        <f t="shared" si="0"/>
        <v>2.7631040317188937E-3</v>
      </c>
      <c r="E20" s="24">
        <f t="shared" si="1"/>
        <v>1.5940895605569178E-2</v>
      </c>
    </row>
    <row r="21" spans="1:5" x14ac:dyDescent="0.2">
      <c r="A21" s="21" t="s">
        <v>175</v>
      </c>
      <c r="B21" s="22">
        <f>COUNTIFS('Workout Sessions'!$B$2:$B$140,"P1",'Workout Sessions'!$C$2:$C$140,1)</f>
        <v>12</v>
      </c>
      <c r="C21" s="22">
        <f>COUNTIFS('Workout Sessions'!$B$2:$B$140,"P2",'Workout Sessions'!$C$2:$C$140,1)</f>
        <v>10</v>
      </c>
      <c r="D21" s="23">
        <f t="shared" si="0"/>
        <v>-2</v>
      </c>
      <c r="E21" s="24">
        <f t="shared" si="1"/>
        <v>-0.16666666666666666</v>
      </c>
    </row>
    <row r="22" spans="1:5" x14ac:dyDescent="0.2">
      <c r="A22" s="21" t="s">
        <v>176</v>
      </c>
      <c r="B22" s="19">
        <f>SUMIFS('Workout Sessions'!$G$2:$G$140,'Workout Sessions'!$B$2:$B$140,"P1",'Workout Sessions'!$C$2:$C$140,1)/1000</f>
        <v>84.698999999999998</v>
      </c>
      <c r="C22" s="19">
        <f>SUMIFS('Workout Sessions'!$G$2:$G$140,'Workout Sessions'!$B$2:$B$140,"P2",'Workout Sessions'!$C$2:$C$140,1)/1000</f>
        <v>63.643999999999998</v>
      </c>
      <c r="D22" s="23">
        <f t="shared" si="0"/>
        <v>-21.055</v>
      </c>
      <c r="E22" s="24">
        <f t="shared" si="1"/>
        <v>-0.24858616984852241</v>
      </c>
    </row>
    <row r="23" spans="1:5" x14ac:dyDescent="0.2">
      <c r="A23" s="21" t="s">
        <v>177</v>
      </c>
      <c r="B23" s="18">
        <f>AVERAGEIFS('Workout Sessions'!$I$2:$I$140,'Workout Sessions'!$B$2:$B$140,"P1",'Workout Sessions'!$C$2:$C$140,1)</f>
        <v>6.4097828353189836</v>
      </c>
      <c r="C23" s="18">
        <f>AVERAGEIFS('Workout Sessions'!$I$2:$I$140,'Workout Sessions'!$B$2:$B$140,"P2",'Workout Sessions'!$C$2:$C$140,1)</f>
        <v>6.4307622371703799</v>
      </c>
      <c r="D23" s="23">
        <f t="shared" si="0"/>
        <v>2.097940185139624E-2</v>
      </c>
      <c r="E23" s="24">
        <f t="shared" si="1"/>
        <v>3.2730284926029318E-3</v>
      </c>
    </row>
    <row r="24" spans="1:5" x14ac:dyDescent="0.2">
      <c r="A24" s="21" t="s">
        <v>178</v>
      </c>
      <c r="B24" s="25">
        <f>AVERAGEIFS('Daily Summary'!$AA$2:$AA$141,'Daily Summary'!$B$2:$B$141,"P1")</f>
        <v>2276.7063974418993</v>
      </c>
      <c r="C24" s="25">
        <f>AVERAGEIFS('Daily Summary'!$AA$2:$AA$141,'Daily Summary'!$B$2:$B$141,"P2")</f>
        <v>2332.1783116143447</v>
      </c>
      <c r="D24" s="23">
        <f t="shared" si="0"/>
        <v>55.471914172445395</v>
      </c>
      <c r="E24" s="24">
        <f t="shared" si="1"/>
        <v>2.4364983660068545E-2</v>
      </c>
    </row>
    <row r="26" spans="1:5" x14ac:dyDescent="0.2">
      <c r="A26" s="20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7" customWidth="1"/>
    <col min="3" max="7" width="11" customWidth="1"/>
    <col min="8" max="8" width="13" customWidth="1"/>
    <col min="9" max="9" width="11" customWidth="1"/>
  </cols>
  <sheetData>
    <row r="1" spans="1:9" ht="32" customHeight="1" x14ac:dyDescent="0.2">
      <c r="A1" s="1" t="s">
        <v>2</v>
      </c>
      <c r="B1" s="1" t="s">
        <v>156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2">
      <c r="A2" s="4">
        <v>46153</v>
      </c>
      <c r="B2" s="3">
        <f>COUNTIF('Daily Summary'!$C$2:$C$141,A2)</f>
        <v>6</v>
      </c>
      <c r="C2" s="25">
        <f>AVERAGEIFS('Daily Summary'!$D$2:$D$141,'Daily Summary'!$C$2:$C$141,A2)</f>
        <v>6153.833333333333</v>
      </c>
      <c r="D2" s="19">
        <f>AVERAGEIFS('Daily Summary'!$I$2:$I$141,'Daily Summary'!$C$2:$C$141,A2)</f>
        <v>41.333333333333336</v>
      </c>
      <c r="E2" s="19">
        <f>AVERAGEIFS('Daily Summary'!$L$2:$L$141,'Daily Summary'!$C$2:$C$141,A2)</f>
        <v>47.550350095913849</v>
      </c>
      <c r="F2" s="18">
        <f>AVERAGEIFS('Daily Summary'!$S$2:$S$141,'Daily Summary'!$C$2:$C$141,A2)/60</f>
        <v>7.8694444444444445</v>
      </c>
      <c r="G2" s="3">
        <f>SUMIFS('Daily Summary'!$P$2:$P$141,'Daily Summary'!$C$2:$C$141,A2)</f>
        <v>4</v>
      </c>
      <c r="H2" s="25">
        <f>AVERAGEIFS('Daily Summary'!$R$2:$R$141,'Daily Summary'!$C$2:$C$141,A2)</f>
        <v>272</v>
      </c>
      <c r="I2" s="22">
        <f>SUMIFS('Daily Summary'!$M$2:$M$141,'Daily Summary'!$C$2:$C$141,A2)</f>
        <v>124</v>
      </c>
    </row>
    <row r="3" spans="1:9" x14ac:dyDescent="0.2">
      <c r="A3" s="4">
        <v>46160</v>
      </c>
      <c r="B3" s="3">
        <f>COUNTIF('Daily Summary'!$C$2:$C$141,A3)</f>
        <v>7</v>
      </c>
      <c r="C3" s="25">
        <f>AVERAGEIFS('Daily Summary'!$D$2:$D$141,'Daily Summary'!$C$2:$C$141,A3)</f>
        <v>8889.1428571428569</v>
      </c>
      <c r="D3" s="19">
        <f>AVERAGEIFS('Daily Summary'!$I$2:$I$141,'Daily Summary'!$C$2:$C$141,A3)</f>
        <v>43.285714285714285</v>
      </c>
      <c r="E3" s="19">
        <f>AVERAGEIFS('Daily Summary'!$L$2:$L$141,'Daily Summary'!$C$2:$C$141,A3)</f>
        <v>49.061891404626053</v>
      </c>
      <c r="F3" s="18">
        <f>AVERAGEIFS('Daily Summary'!$S$2:$S$141,'Daily Summary'!$C$2:$C$141,A3)/60</f>
        <v>7.2976190476190474</v>
      </c>
      <c r="G3" s="3">
        <f>SUMIFS('Daily Summary'!$P$2:$P$141,'Daily Summary'!$C$2:$C$141,A3)</f>
        <v>12</v>
      </c>
      <c r="H3" s="25">
        <f>AVERAGEIFS('Daily Summary'!$R$2:$R$141,'Daily Summary'!$C$2:$C$141,A3)</f>
        <v>631.75590951102117</v>
      </c>
      <c r="I3" s="22">
        <f>SUMIFS('Daily Summary'!$M$2:$M$141,'Daily Summary'!$C$2:$C$141,A3)</f>
        <v>229</v>
      </c>
    </row>
    <row r="4" spans="1:9" x14ac:dyDescent="0.2">
      <c r="A4" s="4">
        <v>46167</v>
      </c>
      <c r="B4" s="3">
        <f>COUNTIF('Daily Summary'!$C$2:$C$141,A4)</f>
        <v>7</v>
      </c>
      <c r="C4" s="25">
        <f>AVERAGEIFS('Daily Summary'!$D$2:$D$141,'Daily Summary'!$C$2:$C$141,A4)</f>
        <v>10005.142857142857</v>
      </c>
      <c r="D4" s="19">
        <f>AVERAGEIFS('Daily Summary'!$I$2:$I$141,'Daily Summary'!$C$2:$C$141,A4)</f>
        <v>42.285714285714285</v>
      </c>
      <c r="E4" s="19">
        <f>AVERAGEIFS('Daily Summary'!$L$2:$L$141,'Daily Summary'!$C$2:$C$141,A4)</f>
        <v>49.162499056593632</v>
      </c>
      <c r="F4" s="18">
        <f>AVERAGEIFS('Daily Summary'!$S$2:$S$141,'Daily Summary'!$C$2:$C$141,A4)/60</f>
        <v>5.6642857142857137</v>
      </c>
      <c r="G4" s="3">
        <f>SUMIFS('Daily Summary'!$P$2:$P$141,'Daily Summary'!$C$2:$C$141,A4)</f>
        <v>11</v>
      </c>
      <c r="H4" s="25">
        <f>AVERAGEIFS('Daily Summary'!$R$2:$R$141,'Daily Summary'!$C$2:$C$141,A4)</f>
        <v>693.93736812046598</v>
      </c>
      <c r="I4" s="22">
        <f>SUMIFS('Daily Summary'!$M$2:$M$141,'Daily Summary'!$C$2:$C$141,A4)</f>
        <v>228</v>
      </c>
    </row>
    <row r="5" spans="1:9" x14ac:dyDescent="0.2">
      <c r="A5" s="4">
        <v>46174</v>
      </c>
      <c r="B5" s="3">
        <f>COUNTIF('Daily Summary'!$C$2:$C$141,A5)</f>
        <v>7</v>
      </c>
      <c r="C5" s="25">
        <f>AVERAGEIFS('Daily Summary'!$D$2:$D$141,'Daily Summary'!$C$2:$C$141,A5)</f>
        <v>7222.7142857142853</v>
      </c>
      <c r="D5" s="19">
        <f>AVERAGEIFS('Daily Summary'!$I$2:$I$141,'Daily Summary'!$C$2:$C$141,A5)</f>
        <v>41.285714285714285</v>
      </c>
      <c r="E5" s="19">
        <f>AVERAGEIFS('Daily Summary'!$L$2:$L$141,'Daily Summary'!$C$2:$C$141,A5)</f>
        <v>47.83033859500204</v>
      </c>
      <c r="F5" s="18">
        <f>AVERAGEIFS('Daily Summary'!$S$2:$S$141,'Daily Summary'!$C$2:$C$141,A5)/60</f>
        <v>6.9642857142857135</v>
      </c>
      <c r="G5" s="3">
        <f>SUMIFS('Daily Summary'!$P$2:$P$141,'Daily Summary'!$C$2:$C$141,A5)</f>
        <v>2</v>
      </c>
      <c r="H5" s="25">
        <f>AVERAGEIFS('Daily Summary'!$R$2:$R$141,'Daily Summary'!$C$2:$C$141,A5)</f>
        <v>71.270414079938618</v>
      </c>
      <c r="I5" s="22">
        <f>SUMIFS('Daily Summary'!$M$2:$M$141,'Daily Summary'!$C$2:$C$141,A5)</f>
        <v>20</v>
      </c>
    </row>
    <row r="6" spans="1:9" x14ac:dyDescent="0.2">
      <c r="A6" s="4">
        <v>46181</v>
      </c>
      <c r="B6" s="3">
        <f>COUNTIF('Daily Summary'!$C$2:$C$141,A6)</f>
        <v>7</v>
      </c>
      <c r="C6" s="25">
        <f>AVERAGEIFS('Daily Summary'!$D$2:$D$141,'Daily Summary'!$C$2:$C$141,A6)</f>
        <v>8492.5714285714294</v>
      </c>
      <c r="D6" s="19">
        <f>AVERAGEIFS('Daily Summary'!$I$2:$I$141,'Daily Summary'!$C$2:$C$141,A6)</f>
        <v>41.428571428571431</v>
      </c>
      <c r="E6" s="19">
        <f>AVERAGEIFS('Daily Summary'!$L$2:$L$141,'Daily Summary'!$C$2:$C$141,A6)</f>
        <v>47.868119896695525</v>
      </c>
      <c r="F6" s="18">
        <f>AVERAGEIFS('Daily Summary'!$S$2:$S$141,'Daily Summary'!$C$2:$C$141,A6)/60</f>
        <v>6.0738095238095244</v>
      </c>
      <c r="G6" s="3">
        <f>SUMIFS('Daily Summary'!$P$2:$P$141,'Daily Summary'!$C$2:$C$141,A6)</f>
        <v>8</v>
      </c>
      <c r="H6" s="25">
        <f>AVERAGEIFS('Daily Summary'!$R$2:$R$141,'Daily Summary'!$C$2:$C$141,A6)</f>
        <v>576.12489972795754</v>
      </c>
      <c r="I6" s="22">
        <f>SUMIFS('Daily Summary'!$M$2:$M$141,'Daily Summary'!$C$2:$C$141,A6)</f>
        <v>149</v>
      </c>
    </row>
    <row r="7" spans="1:9" x14ac:dyDescent="0.2">
      <c r="A7" s="4">
        <v>46188</v>
      </c>
      <c r="B7" s="3">
        <f>COUNTIF('Daily Summary'!$C$2:$C$141,A7)</f>
        <v>7</v>
      </c>
      <c r="C7" s="25">
        <f>AVERAGEIFS('Daily Summary'!$D$2:$D$141,'Daily Summary'!$C$2:$C$141,A7)</f>
        <v>8768.7142857142862</v>
      </c>
      <c r="D7" s="19">
        <f>AVERAGEIFS('Daily Summary'!$I$2:$I$141,'Daily Summary'!$C$2:$C$141,A7)</f>
        <v>42.714285714285715</v>
      </c>
      <c r="E7" s="19">
        <f>AVERAGEIFS('Daily Summary'!$L$2:$L$141,'Daily Summary'!$C$2:$C$141,A7)</f>
        <v>49.186259285083999</v>
      </c>
      <c r="F7" s="18">
        <f>AVERAGEIFS('Daily Summary'!$S$2:$S$141,'Daily Summary'!$C$2:$C$141,A7)/60</f>
        <v>5.7809523809523808</v>
      </c>
      <c r="G7" s="3">
        <f>SUMIFS('Daily Summary'!$P$2:$P$141,'Daily Summary'!$C$2:$C$141,A7)</f>
        <v>6</v>
      </c>
      <c r="H7" s="25">
        <f>AVERAGEIFS('Daily Summary'!$R$2:$R$141,'Daily Summary'!$C$2:$C$141,A7)</f>
        <v>366.46512276785717</v>
      </c>
      <c r="I7" s="22">
        <f>SUMIFS('Daily Summary'!$M$2:$M$141,'Daily Summary'!$C$2:$C$141,A7)</f>
        <v>51</v>
      </c>
    </row>
    <row r="8" spans="1:9" x14ac:dyDescent="0.2">
      <c r="A8" s="4">
        <v>46195</v>
      </c>
      <c r="B8" s="3">
        <f>COUNTIF('Daily Summary'!$C$2:$C$141,A8)</f>
        <v>7</v>
      </c>
      <c r="C8" s="25">
        <f>AVERAGEIFS('Daily Summary'!$D$2:$D$141,'Daily Summary'!$C$2:$C$141,A8)</f>
        <v>8758</v>
      </c>
      <c r="D8" s="19">
        <f>AVERAGEIFS('Daily Summary'!$I$2:$I$141,'Daily Summary'!$C$2:$C$141,A8)</f>
        <v>43.714285714285715</v>
      </c>
      <c r="E8" s="19">
        <f>AVERAGEIFS('Daily Summary'!$L$2:$L$141,'Daily Summary'!$C$2:$C$141,A8)</f>
        <v>50.655079455504342</v>
      </c>
      <c r="F8" s="18">
        <f>AVERAGEIFS('Daily Summary'!$S$2:$S$141,'Daily Summary'!$C$2:$C$141,A8)/60</f>
        <v>5.7976190476190474</v>
      </c>
      <c r="G8" s="3">
        <f>SUMIFS('Daily Summary'!$P$2:$P$141,'Daily Summary'!$C$2:$C$141,A8)</f>
        <v>8</v>
      </c>
      <c r="H8" s="25">
        <f>AVERAGEIFS('Daily Summary'!$R$2:$R$141,'Daily Summary'!$C$2:$C$141,A8)</f>
        <v>373.63466712406705</v>
      </c>
      <c r="I8" s="22">
        <f>SUMIFS('Daily Summary'!$M$2:$M$141,'Daily Summary'!$C$2:$C$141,A8)</f>
        <v>159</v>
      </c>
    </row>
    <row r="9" spans="1:9" x14ac:dyDescent="0.2">
      <c r="A9" s="4">
        <v>46202</v>
      </c>
      <c r="B9" s="3">
        <f>COUNTIF('Daily Summary'!$C$2:$C$141,A9)</f>
        <v>7</v>
      </c>
      <c r="C9" s="25">
        <f>AVERAGEIFS('Daily Summary'!$D$2:$D$141,'Daily Summary'!$C$2:$C$141,A9)</f>
        <v>8959.7142857142862</v>
      </c>
      <c r="D9" s="19">
        <f>AVERAGEIFS('Daily Summary'!$I$2:$I$141,'Daily Summary'!$C$2:$C$141,A9)</f>
        <v>41.714285714285715</v>
      </c>
      <c r="E9" s="19">
        <f>AVERAGEIFS('Daily Summary'!$L$2:$L$141,'Daily Summary'!$C$2:$C$141,A9)</f>
        <v>49.368239389265931</v>
      </c>
      <c r="F9" s="18">
        <f>AVERAGEIFS('Daily Summary'!$S$2:$S$141,'Daily Summary'!$C$2:$C$141,A9)/60</f>
        <v>5.961904761904762</v>
      </c>
      <c r="G9" s="3">
        <f>SUMIFS('Daily Summary'!$P$2:$P$141,'Daily Summary'!$C$2:$C$141,A9)</f>
        <v>4</v>
      </c>
      <c r="H9" s="25">
        <f>AVERAGEIFS('Daily Summary'!$R$2:$R$141,'Daily Summary'!$C$2:$C$141,A9)</f>
        <v>491.58150809151783</v>
      </c>
      <c r="I9" s="22">
        <f>SUMIFS('Daily Summary'!$M$2:$M$141,'Daily Summary'!$C$2:$C$141,A9)</f>
        <v>236</v>
      </c>
    </row>
    <row r="10" spans="1:9" x14ac:dyDescent="0.2">
      <c r="A10" s="4">
        <v>46209</v>
      </c>
      <c r="B10" s="3">
        <f>COUNTIF('Daily Summary'!$C$2:$C$141,A10)</f>
        <v>7</v>
      </c>
      <c r="C10" s="25">
        <f>AVERAGEIFS('Daily Summary'!$D$2:$D$141,'Daily Summary'!$C$2:$C$141,A10)</f>
        <v>5449</v>
      </c>
      <c r="D10" s="19">
        <f>AVERAGEIFS('Daily Summary'!$I$2:$I$141,'Daily Summary'!$C$2:$C$141,A10)</f>
        <v>41.714285714285715</v>
      </c>
      <c r="E10" s="19">
        <f>AVERAGEIFS('Daily Summary'!$L$2:$L$141,'Daily Summary'!$C$2:$C$141,A10)</f>
        <v>47.577096447433618</v>
      </c>
      <c r="F10" s="18">
        <f>AVERAGEIFS('Daily Summary'!$S$2:$S$141,'Daily Summary'!$C$2:$C$141,A10)/60</f>
        <v>7.4285714285714288</v>
      </c>
      <c r="G10" s="3">
        <f>SUMIFS('Daily Summary'!$P$2:$P$141,'Daily Summary'!$C$2:$C$141,A10)</f>
        <v>4</v>
      </c>
      <c r="H10" s="25">
        <f>AVERAGEIFS('Daily Summary'!$R$2:$R$141,'Daily Summary'!$C$2:$C$141,A10)</f>
        <v>152.14285714285714</v>
      </c>
      <c r="I10" s="22">
        <f>SUMIFS('Daily Summary'!$M$2:$M$141,'Daily Summary'!$C$2:$C$141,A10)</f>
        <v>0</v>
      </c>
    </row>
    <row r="11" spans="1:9" x14ac:dyDescent="0.2">
      <c r="A11" s="4">
        <v>46216</v>
      </c>
      <c r="B11" s="3">
        <f>COUNTIF('Daily Summary'!$C$2:$C$141,A11)</f>
        <v>7</v>
      </c>
      <c r="C11" s="25">
        <f>AVERAGEIFS('Daily Summary'!$D$2:$D$141,'Daily Summary'!$C$2:$C$141,A11)</f>
        <v>6344.1428571428569</v>
      </c>
      <c r="D11" s="19">
        <f>AVERAGEIFS('Daily Summary'!$I$2:$I$141,'Daily Summary'!$C$2:$C$141,A11)</f>
        <v>42.142857142857146</v>
      </c>
      <c r="E11" s="19">
        <f>AVERAGEIFS('Daily Summary'!$L$2:$L$141,'Daily Summary'!$C$2:$C$141,A11)</f>
        <v>48.147473653543209</v>
      </c>
      <c r="F11" s="18">
        <f>AVERAGEIFS('Daily Summary'!$S$2:$S$141,'Daily Summary'!$C$2:$C$141,A11)/60</f>
        <v>7.3428571428571425</v>
      </c>
      <c r="G11" s="3">
        <f>SUMIFS('Daily Summary'!$P$2:$P$141,'Daily Summary'!$C$2:$C$141,A11)</f>
        <v>6</v>
      </c>
      <c r="H11" s="25">
        <f>AVERAGEIFS('Daily Summary'!$R$2:$R$141,'Daily Summary'!$C$2:$C$141,A11)</f>
        <v>348.60850960867748</v>
      </c>
      <c r="I11" s="22">
        <f>SUMIFS('Daily Summary'!$M$2:$M$141,'Daily Summary'!$C$2:$C$141,A11)</f>
        <v>146</v>
      </c>
    </row>
    <row r="12" spans="1:9" x14ac:dyDescent="0.2">
      <c r="A12" s="4">
        <v>46223</v>
      </c>
      <c r="B12" s="3">
        <f>COUNTIF('Daily Summary'!$C$2:$C$141,A12)</f>
        <v>7</v>
      </c>
      <c r="C12" s="25">
        <f>AVERAGEIFS('Daily Summary'!$D$2:$D$141,'Daily Summary'!$C$2:$C$141,A12)</f>
        <v>7482.5714285714284</v>
      </c>
      <c r="D12" s="19">
        <f>AVERAGEIFS('Daily Summary'!$I$2:$I$141,'Daily Summary'!$C$2:$C$141,A12)</f>
        <v>41.142857142857146</v>
      </c>
      <c r="E12" s="19">
        <f>AVERAGEIFS('Daily Summary'!$L$2:$L$141,'Daily Summary'!$C$2:$C$141,A12)</f>
        <v>45.548692527423682</v>
      </c>
      <c r="F12" s="18">
        <f>AVERAGEIFS('Daily Summary'!$S$2:$S$141,'Daily Summary'!$C$2:$C$141,A12)/60</f>
        <v>6.2928571428571427</v>
      </c>
      <c r="G12" s="3">
        <f>SUMIFS('Daily Summary'!$P$2:$P$141,'Daily Summary'!$C$2:$C$141,A12)</f>
        <v>6</v>
      </c>
      <c r="H12" s="25">
        <f>AVERAGEIFS('Daily Summary'!$R$2:$R$141,'Daily Summary'!$C$2:$C$141,A12)</f>
        <v>368</v>
      </c>
      <c r="I12" s="22">
        <f>SUMIFS('Daily Summary'!$M$2:$M$141,'Daily Summary'!$C$2:$C$141,A12)</f>
        <v>143</v>
      </c>
    </row>
    <row r="13" spans="1:9" x14ac:dyDescent="0.2">
      <c r="A13" s="4">
        <v>46230</v>
      </c>
      <c r="B13" s="3">
        <f>COUNTIF('Daily Summary'!$C$2:$C$141,A13)</f>
        <v>7</v>
      </c>
      <c r="C13" s="25">
        <f>AVERAGEIFS('Daily Summary'!$D$2:$D$141,'Daily Summary'!$C$2:$C$141,A13)</f>
        <v>9118.5714285714294</v>
      </c>
      <c r="D13" s="19">
        <f>AVERAGEIFS('Daily Summary'!$I$2:$I$141,'Daily Summary'!$C$2:$C$141,A13)</f>
        <v>41.714285714285715</v>
      </c>
      <c r="E13" s="19">
        <f>AVERAGEIFS('Daily Summary'!$L$2:$L$141,'Daily Summary'!$C$2:$C$141,A13)</f>
        <v>47.508154392453513</v>
      </c>
      <c r="F13" s="18">
        <f>AVERAGEIFS('Daily Summary'!$S$2:$S$141,'Daily Summary'!$C$2:$C$141,A13)/60</f>
        <v>4.871428571428571</v>
      </c>
      <c r="G13" s="3">
        <f>SUMIFS('Daily Summary'!$P$2:$P$141,'Daily Summary'!$C$2:$C$141,A13)</f>
        <v>8</v>
      </c>
      <c r="H13" s="25">
        <f>AVERAGEIFS('Daily Summary'!$R$2:$R$141,'Daily Summary'!$C$2:$C$141,A13)</f>
        <v>459.13834490094871</v>
      </c>
      <c r="I13" s="22">
        <f>SUMIFS('Daily Summary'!$M$2:$M$141,'Daily Summary'!$C$2:$C$141,A13)</f>
        <v>187</v>
      </c>
    </row>
    <row r="14" spans="1:9" x14ac:dyDescent="0.2">
      <c r="A14" s="4">
        <v>46237</v>
      </c>
      <c r="B14" s="3">
        <f>COUNTIF('Daily Summary'!$C$2:$C$141,A14)</f>
        <v>7</v>
      </c>
      <c r="C14" s="25">
        <f>AVERAGEIFS('Daily Summary'!$D$2:$D$141,'Daily Summary'!$C$2:$C$141,A14)</f>
        <v>6950.4285714285716</v>
      </c>
      <c r="D14" s="19">
        <f>AVERAGEIFS('Daily Summary'!$I$2:$I$141,'Daily Summary'!$C$2:$C$141,A14)</f>
        <v>40.571428571428569</v>
      </c>
      <c r="E14" s="19">
        <f>AVERAGEIFS('Daily Summary'!$L$2:$L$141,'Daily Summary'!$C$2:$C$141,A14)</f>
        <v>46.48138931916143</v>
      </c>
      <c r="F14" s="18">
        <f>AVERAGEIFS('Daily Summary'!$S$2:$S$141,'Daily Summary'!$C$2:$C$141,A14)/60</f>
        <v>5.9357142857142859</v>
      </c>
      <c r="G14" s="3">
        <f>SUMIFS('Daily Summary'!$P$2:$P$141,'Daily Summary'!$C$2:$C$141,A14)</f>
        <v>7</v>
      </c>
      <c r="H14" s="25">
        <f>AVERAGEIFS('Daily Summary'!$R$2:$R$141,'Daily Summary'!$C$2:$C$141,A14)</f>
        <v>389.0406712123326</v>
      </c>
      <c r="I14" s="22">
        <f>SUMIFS('Daily Summary'!$M$2:$M$141,'Daily Summary'!$C$2:$C$141,A14)</f>
        <v>154</v>
      </c>
    </row>
    <row r="15" spans="1:9" x14ac:dyDescent="0.2">
      <c r="A15" s="4">
        <v>46244</v>
      </c>
      <c r="B15" s="3">
        <f>COUNTIF('Daily Summary'!$C$2:$C$141,A15)</f>
        <v>7</v>
      </c>
      <c r="C15" s="25">
        <f>AVERAGEIFS('Daily Summary'!$D$2:$D$141,'Daily Summary'!$C$2:$C$141,A15)</f>
        <v>6530.2857142857147</v>
      </c>
      <c r="D15" s="19">
        <f>AVERAGEIFS('Daily Summary'!$I$2:$I$141,'Daily Summary'!$C$2:$C$141,A15)</f>
        <v>42.857142857142854</v>
      </c>
      <c r="E15" s="19">
        <f>AVERAGEIFS('Daily Summary'!$L$2:$L$141,'Daily Summary'!$C$2:$C$141,A15)</f>
        <v>48.737239661984063</v>
      </c>
      <c r="F15" s="18">
        <f>AVERAGEIFS('Daily Summary'!$S$2:$S$141,'Daily Summary'!$C$2:$C$141,A15)/60</f>
        <v>6.4190476190476193</v>
      </c>
      <c r="G15" s="3">
        <f>SUMIFS('Daily Summary'!$P$2:$P$141,'Daily Summary'!$C$2:$C$141,A15)</f>
        <v>7</v>
      </c>
      <c r="H15" s="25">
        <f>AVERAGEIFS('Daily Summary'!$R$2:$R$141,'Daily Summary'!$C$2:$C$141,A15)</f>
        <v>374.45925903320312</v>
      </c>
      <c r="I15" s="22">
        <f>SUMIFS('Daily Summary'!$M$2:$M$141,'Daily Summary'!$C$2:$C$141,A15)</f>
        <v>125</v>
      </c>
    </row>
    <row r="16" spans="1:9" x14ac:dyDescent="0.2">
      <c r="A16" s="4">
        <v>46251</v>
      </c>
      <c r="B16" s="3">
        <f>COUNTIF('Daily Summary'!$C$2:$C$141,A16)</f>
        <v>7</v>
      </c>
      <c r="C16" s="25">
        <f>AVERAGEIFS('Daily Summary'!$D$2:$D$141,'Daily Summary'!$C$2:$C$141,A16)</f>
        <v>9746.8571428571431</v>
      </c>
      <c r="D16" s="19">
        <f>AVERAGEIFS('Daily Summary'!$I$2:$I$141,'Daily Summary'!$C$2:$C$141,A16)</f>
        <v>43.857142857142854</v>
      </c>
      <c r="E16" s="19">
        <f>AVERAGEIFS('Daily Summary'!$L$2:$L$141,'Daily Summary'!$C$2:$C$141,A16)</f>
        <v>50.250250709878451</v>
      </c>
      <c r="F16" s="18">
        <f>AVERAGEIFS('Daily Summary'!$S$2:$S$141,'Daily Summary'!$C$2:$C$141,A16)/60</f>
        <v>6.4738095238095239</v>
      </c>
      <c r="G16" s="3">
        <f>SUMIFS('Daily Summary'!$P$2:$P$141,'Daily Summary'!$C$2:$C$141,A16)</f>
        <v>9</v>
      </c>
      <c r="H16" s="25">
        <f>AVERAGEIFS('Daily Summary'!$R$2:$R$141,'Daily Summary'!$C$2:$C$141,A16)</f>
        <v>523.32811696188787</v>
      </c>
      <c r="I16" s="22">
        <f>SUMIFS('Daily Summary'!$M$2:$M$141,'Daily Summary'!$C$2:$C$141,A16)</f>
        <v>245</v>
      </c>
    </row>
    <row r="17" spans="1:9" x14ac:dyDescent="0.2">
      <c r="A17" s="4">
        <v>46258</v>
      </c>
      <c r="B17" s="3">
        <f>COUNTIF('Daily Summary'!$C$2:$C$141,A17)</f>
        <v>7</v>
      </c>
      <c r="C17" s="25">
        <f>AVERAGEIFS('Daily Summary'!$D$2:$D$141,'Daily Summary'!$C$2:$C$141,A17)</f>
        <v>6351.5714285714284</v>
      </c>
      <c r="D17" s="19">
        <f>AVERAGEIFS('Daily Summary'!$I$2:$I$141,'Daily Summary'!$C$2:$C$141,A17)</f>
        <v>41</v>
      </c>
      <c r="E17" s="19">
        <f>AVERAGEIFS('Daily Summary'!$L$2:$L$141,'Daily Summary'!$C$2:$C$141,A17)</f>
        <v>47.081203236357446</v>
      </c>
      <c r="F17" s="18">
        <f>AVERAGEIFS('Daily Summary'!$S$2:$S$141,'Daily Summary'!$C$2:$C$141,A17)/60</f>
        <v>6.6738095238095241</v>
      </c>
      <c r="G17" s="3">
        <f>SUMIFS('Daily Summary'!$P$2:$P$141,'Daily Summary'!$C$2:$C$141,A17)</f>
        <v>9</v>
      </c>
      <c r="H17" s="25">
        <f>AVERAGEIFS('Daily Summary'!$R$2:$R$141,'Daily Summary'!$C$2:$C$141,A17)</f>
        <v>469.13686697823658</v>
      </c>
      <c r="I17" s="22">
        <f>SUMIFS('Daily Summary'!$M$2:$M$141,'Daily Summary'!$C$2:$C$141,A17)</f>
        <v>182</v>
      </c>
    </row>
    <row r="18" spans="1:9" x14ac:dyDescent="0.2">
      <c r="A18" s="4">
        <v>46265</v>
      </c>
      <c r="B18" s="3">
        <f>COUNTIF('Daily Summary'!$C$2:$C$141,A18)</f>
        <v>7</v>
      </c>
      <c r="C18" s="25">
        <f>AVERAGEIFS('Daily Summary'!$D$2:$D$141,'Daily Summary'!$C$2:$C$141,A18)</f>
        <v>6736.8571428571431</v>
      </c>
      <c r="D18" s="19">
        <f>AVERAGEIFS('Daily Summary'!$I$2:$I$141,'Daily Summary'!$C$2:$C$141,A18)</f>
        <v>40.857142857142854</v>
      </c>
      <c r="E18" s="19">
        <f>AVERAGEIFS('Daily Summary'!$L$2:$L$141,'Daily Summary'!$C$2:$C$141,A18)</f>
        <v>47.288397733960672</v>
      </c>
      <c r="F18" s="18">
        <f>AVERAGEIFS('Daily Summary'!$S$2:$S$141,'Daily Summary'!$C$2:$C$141,A18)/60</f>
        <v>5.5357142857142865</v>
      </c>
      <c r="G18" s="3">
        <f>SUMIFS('Daily Summary'!$P$2:$P$141,'Daily Summary'!$C$2:$C$141,A18)</f>
        <v>7</v>
      </c>
      <c r="H18" s="25">
        <f>AVERAGEIFS('Daily Summary'!$R$2:$R$141,'Daily Summary'!$C$2:$C$141,A18)</f>
        <v>409.0534449986049</v>
      </c>
      <c r="I18" s="22">
        <f>SUMIFS('Daily Summary'!$M$2:$M$141,'Daily Summary'!$C$2:$C$141,A18)</f>
        <v>150</v>
      </c>
    </row>
    <row r="19" spans="1:9" x14ac:dyDescent="0.2">
      <c r="A19" s="4">
        <v>46272</v>
      </c>
      <c r="B19" s="3">
        <f>COUNTIF('Daily Summary'!$C$2:$C$141,A19)</f>
        <v>7</v>
      </c>
      <c r="C19" s="25">
        <f>AVERAGEIFS('Daily Summary'!$D$2:$D$141,'Daily Summary'!$C$2:$C$141,A19)</f>
        <v>9473</v>
      </c>
      <c r="D19" s="19">
        <f>AVERAGEIFS('Daily Summary'!$I$2:$I$141,'Daily Summary'!$C$2:$C$141,A19)</f>
        <v>41.285714285714285</v>
      </c>
      <c r="E19" s="19">
        <f>AVERAGEIFS('Daily Summary'!$L$2:$L$141,'Daily Summary'!$C$2:$C$141,A19)</f>
        <v>47.838529910857027</v>
      </c>
      <c r="F19" s="18">
        <f>AVERAGEIFS('Daily Summary'!$S$2:$S$141,'Daily Summary'!$C$2:$C$141,A19)/60</f>
        <v>4.8809523809523805</v>
      </c>
      <c r="G19" s="3">
        <f>SUMIFS('Daily Summary'!$P$2:$P$141,'Daily Summary'!$C$2:$C$141,A19)</f>
        <v>9</v>
      </c>
      <c r="H19" s="25">
        <f>AVERAGEIFS('Daily Summary'!$R$2:$R$141,'Daily Summary'!$C$2:$C$141,A19)</f>
        <v>619.66047886439731</v>
      </c>
      <c r="I19" s="22">
        <f>SUMIFS('Daily Summary'!$M$2:$M$141,'Daily Summary'!$C$2:$C$141,A19)</f>
        <v>208</v>
      </c>
    </row>
    <row r="20" spans="1:9" x14ac:dyDescent="0.2">
      <c r="A20" s="4">
        <v>46279</v>
      </c>
      <c r="B20" s="3">
        <f>COUNTIF('Daily Summary'!$C$2:$C$141,A20)</f>
        <v>7</v>
      </c>
      <c r="C20" s="25">
        <f>AVERAGEIFS('Daily Summary'!$D$2:$D$141,'Daily Summary'!$C$2:$C$141,A20)</f>
        <v>5793</v>
      </c>
      <c r="D20" s="19">
        <f>AVERAGEIFS('Daily Summary'!$I$2:$I$141,'Daily Summary'!$C$2:$C$141,A20)</f>
        <v>40.142857142857146</v>
      </c>
      <c r="E20" s="19">
        <f>AVERAGEIFS('Daily Summary'!$L$2:$L$141,'Daily Summary'!$C$2:$C$141,A20)</f>
        <v>45.821940963322255</v>
      </c>
      <c r="F20" s="18">
        <f>AVERAGEIFS('Daily Summary'!$S$2:$S$141,'Daily Summary'!$C$2:$C$141,A20)/60</f>
        <v>7.3571428571428577</v>
      </c>
      <c r="G20" s="3">
        <f>SUMIFS('Daily Summary'!$P$2:$P$141,'Daily Summary'!$C$2:$C$141,A20)</f>
        <v>4</v>
      </c>
      <c r="H20" s="25">
        <f>AVERAGEIFS('Daily Summary'!$R$2:$R$141,'Daily Summary'!$C$2:$C$141,A20)</f>
        <v>168.71428571428572</v>
      </c>
      <c r="I20" s="22">
        <f>SUMIFS('Daily Summary'!$M$2:$M$141,'Daily Summary'!$C$2:$C$141,A20)</f>
        <v>44</v>
      </c>
    </row>
    <row r="21" spans="1:9" x14ac:dyDescent="0.2">
      <c r="A21" s="4">
        <v>46286</v>
      </c>
      <c r="B21" s="3">
        <f>COUNTIF('Daily Summary'!$C$2:$C$141,A21)</f>
        <v>7</v>
      </c>
      <c r="C21" s="25">
        <f>AVERAGEIFS('Daily Summary'!$D$2:$D$141,'Daily Summary'!$C$2:$C$141,A21)</f>
        <v>9579.8571428571431</v>
      </c>
      <c r="D21" s="19">
        <f>AVERAGEIFS('Daily Summary'!$I$2:$I$141,'Daily Summary'!$C$2:$C$141,A21)</f>
        <v>40.857142857142854</v>
      </c>
      <c r="E21" s="19">
        <f>AVERAGEIFS('Daily Summary'!$L$2:$L$141,'Daily Summary'!$C$2:$C$141,A21)</f>
        <v>46.37041270116049</v>
      </c>
      <c r="F21" s="18">
        <f>AVERAGEIFS('Daily Summary'!$S$2:$S$141,'Daily Summary'!$C$2:$C$141,A21)/60</f>
        <v>5.7523809523809524</v>
      </c>
      <c r="G21" s="3">
        <f>SUMIFS('Daily Summary'!$P$2:$P$141,'Daily Summary'!$C$2:$C$141,A21)</f>
        <v>7</v>
      </c>
      <c r="H21" s="25">
        <f>AVERAGEIFS('Daily Summary'!$R$2:$R$141,'Daily Summary'!$C$2:$C$141,A21)</f>
        <v>421.18175397600447</v>
      </c>
      <c r="I21" s="22">
        <f>SUMIFS('Daily Summary'!$M$2:$M$141,'Daily Summary'!$C$2:$C$141,A21)</f>
        <v>193</v>
      </c>
    </row>
    <row r="23" spans="1:9" x14ac:dyDescent="0.2">
      <c r="A23" s="20" t="s">
        <v>187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6"/>
  <sheetViews>
    <sheetView workbookViewId="0"/>
  </sheetViews>
  <sheetFormatPr baseColWidth="10" defaultColWidth="8.83203125" defaultRowHeight="15" x14ac:dyDescent="0.2"/>
  <cols>
    <col min="1" max="1" width="115" customWidth="1"/>
  </cols>
  <sheetData>
    <row r="1" spans="1:1" ht="18" x14ac:dyDescent="0.2">
      <c r="A1" s="27" t="s">
        <v>188</v>
      </c>
    </row>
    <row r="2" spans="1:1" ht="28" x14ac:dyDescent="0.2">
      <c r="A2" s="28" t="s">
        <v>189</v>
      </c>
    </row>
    <row r="3" spans="1:1" ht="42" x14ac:dyDescent="0.2">
      <c r="A3" s="28" t="s">
        <v>190</v>
      </c>
    </row>
    <row r="4" spans="1:1" x14ac:dyDescent="0.2">
      <c r="A4" s="28" t="s">
        <v>191</v>
      </c>
    </row>
    <row r="5" spans="1:1" ht="28" x14ac:dyDescent="0.2">
      <c r="A5" s="28" t="s">
        <v>192</v>
      </c>
    </row>
    <row r="6" spans="1:1" x14ac:dyDescent="0.2">
      <c r="A6" s="28" t="s">
        <v>193</v>
      </c>
    </row>
    <row r="7" spans="1:1" ht="42" x14ac:dyDescent="0.2">
      <c r="A7" s="28" t="s">
        <v>194</v>
      </c>
    </row>
    <row r="8" spans="1:1" x14ac:dyDescent="0.2">
      <c r="A8" s="28" t="s">
        <v>195</v>
      </c>
    </row>
    <row r="9" spans="1:1" x14ac:dyDescent="0.2">
      <c r="A9" s="28" t="s">
        <v>196</v>
      </c>
    </row>
    <row r="10" spans="1:1" x14ac:dyDescent="0.2">
      <c r="A10" s="28" t="s">
        <v>197</v>
      </c>
    </row>
    <row r="11" spans="1:1" ht="28" x14ac:dyDescent="0.2">
      <c r="A11" s="28" t="s">
        <v>198</v>
      </c>
    </row>
    <row r="12" spans="1:1" x14ac:dyDescent="0.2">
      <c r="A12" s="28" t="s">
        <v>199</v>
      </c>
    </row>
    <row r="13" spans="1:1" x14ac:dyDescent="0.2">
      <c r="A13" s="28" t="s">
        <v>200</v>
      </c>
    </row>
    <row r="14" spans="1:1" ht="28" x14ac:dyDescent="0.2">
      <c r="A14" s="28" t="s">
        <v>201</v>
      </c>
    </row>
    <row r="15" spans="1:1" ht="28" x14ac:dyDescent="0.2">
      <c r="A15" s="28" t="s">
        <v>202</v>
      </c>
    </row>
    <row r="16" spans="1:1" x14ac:dyDescent="0.2">
      <c r="A16" s="28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Summary</vt:lpstr>
      <vt:lpstr>Workout Sessions</vt:lpstr>
      <vt:lpstr>HRV (Monthly)</vt:lpstr>
      <vt:lpstr>Period Comparison</vt:lpstr>
      <vt:lpstr>Weekly Trends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Aaryaman Parulekar</cp:lastModifiedBy>
  <dcterms:created xsi:type="dcterms:W3CDTF">2026-10-16T03:04:51Z</dcterms:created>
  <dcterms:modified xsi:type="dcterms:W3CDTF">2026-10-16T03:04:56Z</dcterms:modified>
</cp:coreProperties>
</file>